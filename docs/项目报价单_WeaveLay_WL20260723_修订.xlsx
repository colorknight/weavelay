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WeaveLay2\docs\"/>
    </mc:Choice>
  </mc:AlternateContent>
  <xr:revisionPtr revIDLastSave="0" documentId="11_F5208A02D768D8FEEE798895495DCE3AB74E9FDE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产品报价" sheetId="1" r:id="rId1"/>
  </sheets>
  <definedNames>
    <definedName name="_xlnm.Print_Titles" localSheetId="0">产品报价!$1:$3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J27" i="1" s="1"/>
  <c r="J24" i="1"/>
  <c r="J20" i="1"/>
  <c r="J16" i="1"/>
  <c r="J25" i="1" s="1"/>
  <c r="J28" i="1" s="1"/>
</calcChain>
</file>

<file path=xl/sharedStrings.xml><?xml version="1.0" encoding="utf-8"?>
<sst xmlns="http://schemas.openxmlformats.org/spreadsheetml/2006/main" count="156" uniqueCount="109">
  <si>
    <t>织版（WeaveLay）工业规程文档 OCR 提取软件 — 产品报价单</t>
  </si>
  <si>
    <t>报价编号：WL20260723　　报价日期：2026年07月23日　　币种：人民币（元）</t>
  </si>
  <si>
    <t>产品：织版 WeaveLay 桌面版（Windows 单机）</t>
  </si>
  <si>
    <t>序号</t>
  </si>
  <si>
    <t>类型</t>
  </si>
  <si>
    <t>业务板块</t>
  </si>
  <si>
    <t>模块</t>
  </si>
  <si>
    <t>功能</t>
  </si>
  <si>
    <t>详细内容</t>
  </si>
  <si>
    <t>单位</t>
  </si>
  <si>
    <t>数量</t>
  </si>
  <si>
    <t>单价（元）</t>
  </si>
  <si>
    <t>金额（元）</t>
  </si>
  <si>
    <t>备注</t>
  </si>
  <si>
    <t>基础软件</t>
  </si>
  <si>
    <t>软件交付</t>
  </si>
  <si>
    <t>桌面客户端</t>
  </si>
  <si>
    <t>安装与运行</t>
  </si>
  <si>
    <t>提供 Windows 单机便携版，解压即可使用，无需另行安装开发环境；支持按机器授权激活。</t>
  </si>
  <si>
    <t>套</t>
  </si>
  <si>
    <t>含于基础软件</t>
  </si>
  <si>
    <t>文档处理</t>
  </si>
  <si>
    <t>批量识别</t>
  </si>
  <si>
    <t>PDF 批量提取</t>
  </si>
  <si>
    <t>支持按文件夹批量处理工艺规程等 PDF 文档；可多文件连续切换，记住常用目录与导出位置。</t>
  </si>
  <si>
    <t>项</t>
  </si>
  <si>
    <t>对照预览</t>
  </si>
  <si>
    <t>原图与识别结果对照</t>
  </si>
  <si>
    <t>页面原图与识别结果左右对照显示，文字与表格区域可视化标注，便于核对提取是否正确；支持翻页浏览。</t>
  </si>
  <si>
    <t>智能识别</t>
  </si>
  <si>
    <t>文字识别</t>
  </si>
  <si>
    <t>中文 OCR 识别</t>
  </si>
  <si>
    <t>内置本地中文 OCR 引擎，对规程正文、表头、工序号等内容自动识别；识别在本机完成，不依赖外网。</t>
  </si>
  <si>
    <t>表格与公式</t>
  </si>
  <si>
    <t>表格提取 / 公式识别</t>
  </si>
  <si>
    <t>支持工序目录等表格的行列提取；支持公差、直径、上下标等工业常见公式与特殊符号的识别与还原。</t>
  </si>
  <si>
    <t>人工校对</t>
  </si>
  <si>
    <t>结果修正</t>
  </si>
  <si>
    <t>人工校对与修正</t>
  </si>
  <si>
    <t>支持对识别结果进行人工校对与修改；可录入或修正特殊符号、公式内容，保证最终入库数据准确。</t>
  </si>
  <si>
    <t>模板体系</t>
  </si>
  <si>
    <t>页面类型</t>
  </si>
  <si>
    <t>按页型提取</t>
  </si>
  <si>
    <t>按封面、工序目录、工序图、机加工序卡、检验卡、辅助工序卡等页面类型分别配置提取内容；使用时选择当前页类型后按该页模板提取字段与表格。</t>
  </si>
  <si>
    <t>字段提取</t>
  </si>
  <si>
    <t>按模板提取字段</t>
  </si>
  <si>
    <t>按预先配置的文档模板，从对应页面提取产品代号、工序号、工序名称、毛坯信息等业务字段；支持普通字段与表格内容。</t>
  </si>
  <si>
    <t>模板配置</t>
  </si>
  <si>
    <t>模板模式自助配置</t>
  </si>
  <si>
    <t>提供模板配置能力：可在页面上圈选提取区域、绑定输出字段、维护各页型提取规则，便于后续自行扩展或微调模板。</t>
  </si>
  <si>
    <t>结果输出</t>
  </si>
  <si>
    <t>结构化导出</t>
  </si>
  <si>
    <t>确认并导出 Excel</t>
  </si>
  <si>
    <t>提取结果经确认后写入结构化数据，并按约定 Excel 模板导出（如 {文件类型}-{文件名}.xlsx）；支持对接客户现有表格版式。</t>
  </si>
  <si>
    <t>生产流程</t>
  </si>
  <si>
    <t>应用模式一站式处理</t>
  </si>
  <si>
    <t>日常使用流程：打开 PDF 文件夹 → 选择页型 → 按模板提取 → 人工校对 → 确认 → 导出 Excel。</t>
  </si>
  <si>
    <t>模板交付</t>
  </si>
  <si>
    <t>缺省模板</t>
  </si>
  <si>
    <t>含 3 个文档模板</t>
  </si>
  <si>
    <t>基础软件缺省包含 3 个文档模板的适配交付（含各页型提取规则、字段与 Excel 输出初配）；其中含「工艺规程」类通用骨架，另 2 套按客户首批样张完成适配。</t>
  </si>
  <si>
    <t>个</t>
  </si>
  <si>
    <t>软件标配，不另计费</t>
  </si>
  <si>
    <t>软件许可</t>
  </si>
  <si>
    <t>产品许可费</t>
  </si>
  <si>
    <t>基础软件（桌面版）</t>
  </si>
  <si>
    <t>织版 WeaveLay 桌面版永久授权 1 套，含上述全部功能及缺省 3 个文档模板适配额度。</t>
  </si>
  <si>
    <t>永久授权 / 单机桌面版</t>
  </si>
  <si>
    <t>文档模板适配</t>
  </si>
  <si>
    <t>增购服务</t>
  </si>
  <si>
    <t>新模板</t>
  </si>
  <si>
    <t>版式分析与页型配置</t>
  </si>
  <si>
    <t>针对客户新一类规程 PDF，梳理封面、目录、各类工序卡等页面类型，按页配置提取内容与规则。</t>
  </si>
  <si>
    <t>含于模板适配</t>
  </si>
  <si>
    <t>字段与表格提取配置</t>
  </si>
  <si>
    <t>按样张配置需提取的业务字段与表格列，完成页面圈选与绑定，保证关键信息可稳定抽出。</t>
  </si>
  <si>
    <t>Excel 输出对接</t>
  </si>
  <si>
    <t>对接客户指定的 Excel 输出版式，完成占位与样张联调，直至可稳定导出；交付可导入的模板包，便于多机使用。</t>
  </si>
  <si>
    <t>服务计价</t>
  </si>
  <si>
    <t>模板适配费</t>
  </si>
  <si>
    <t>超出缺省的模板</t>
  </si>
  <si>
    <t>超出基础软件缺省 3 个以外的每个新文档模板，按 2,500 元/个计费。请修改本行「数量」为需增购个数，金额自动计算。</t>
  </si>
  <si>
    <t>缺省 3 个已含在软件中</t>
  </si>
  <si>
    <t>模板编写培训</t>
  </si>
  <si>
    <t>培训内容</t>
  </si>
  <si>
    <t>上岗使用</t>
  </si>
  <si>
    <t>安装、授权与日常操作</t>
  </si>
  <si>
    <t>软件安装启动、授权激活、日常批量识别与导出操作演示。</t>
  </si>
  <si>
    <t>含于培训服务</t>
  </si>
  <si>
    <t>模板编写与调整</t>
  </si>
  <si>
    <t>各页型提取区域圈选与字段绑定、Excel 输出模板对接方法；常见版式问题排查。</t>
  </si>
  <si>
    <t>生产与维护</t>
  </si>
  <si>
    <t>校对、导出与模板备份</t>
  </si>
  <si>
    <t>人工校对修正方法、确认与导出流程；模板备份与多机迁移，便于后期自行维护。</t>
  </si>
  <si>
    <t>培训费</t>
  </si>
  <si>
    <t>现场或远程培训 1 次（含上述课程与答疑）。请修改本行「数量」调整次数，金额自动计算。</t>
  </si>
  <si>
    <t>次</t>
  </si>
  <si>
    <t>建议采购，便于自主扩展</t>
  </si>
  <si>
    <t>小计（软件 + 模板增购 + 培训）</t>
  </si>
  <si>
    <t>售后服务</t>
  </si>
  <si>
    <t>提供 3 个月免费质保（自验收合格之日起）。
质保范围：软件缺陷修复；识别/导出异常远程排查；安装与授权指导；缺省模板范围内的规则纠偏。
不属于免费质保：超出已购范围的新模板开发、新功能定制、自行改动导致的故障、重大环境变更、日常操作咨询（可有偿另计）。</t>
  </si>
  <si>
    <t>随基础软件赠送</t>
  </si>
  <si>
    <t>小计</t>
  </si>
  <si>
    <t>总计（人民币）</t>
  </si>
  <si>
    <t>含税另议 / 以合同为准</t>
  </si>
  <si>
    <t>【报价说明】
1. 基础软件 60,000 元/套：上表功能行为能力说明，费用计入「产品许可费」；缺省含 3 个文档模板。
2. 文档模板适配 2,500 元/个：修改绿色计价行「数量」即可增购超出缺省的模板。
3. 模板编写培训 10,000 元/次：修改绿色计价行「数量」调整培训次数。
4. 默认配置：软件 1 套 + 额外模板 0 个 + 培训 1 次 = 70,000 元。
5. 本报价有效期 30 日；最终以双方签署合同为准。</t>
  </si>
  <si>
    <t>供方（盖章）：____________________</t>
  </si>
  <si>
    <t>需方（盖章）：____________________</t>
  </si>
  <si>
    <t>日期：________年____月____日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</si>
</sst>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4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D8D8D8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/>
    <xf numFmtId="3" fontId="3" fillId="5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5" borderId="1" xfId="0" applyFont="1" applyFill="1" applyBorder="1" applyAlignment="1">
      <alignment horizontal="right" vertical="center" wrapText="1"/>
    </xf>
    <xf numFmtId="0" fontId="0" fillId="5" borderId="1" xfId="0" applyFill="1" applyBorder="1"/>
    <xf numFmtId="0" fontId="5" fillId="6" borderId="1" xfId="0" applyFont="1" applyFill="1" applyBorder="1" applyAlignment="1">
      <alignment horizontal="right" vertical="center" wrapText="1"/>
    </xf>
    <xf numFmtId="0" fontId="0" fillId="6" borderId="1" xfId="0" applyFill="1" applyBorder="1"/>
    <xf numFmtId="0" fontId="2" fillId="7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0" fontId="2" fillId="0" borderId="0" xfId="0" applyFont="1"/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3"/>
  <sheetViews>
    <sheetView tabSelected="1" topLeftCell="A16" workbookViewId="0">
      <selection activeCell="E23" sqref="E23"/>
    </sheetView>
  </sheetViews>
  <sheetFormatPr defaultRowHeight="13.5" x14ac:dyDescent="0.3"/>
  <cols>
    <col min="1" max="1" width="5.46484375" customWidth="1"/>
    <col min="2" max="2" width="12" customWidth="1"/>
    <col min="3" max="3" width="14" customWidth="1"/>
    <col min="4" max="4" width="16" customWidth="1"/>
    <col min="5" max="5" width="18" customWidth="1"/>
    <col min="6" max="6" width="58" customWidth="1"/>
    <col min="7" max="8" width="7" customWidth="1"/>
    <col min="9" max="10" width="11" customWidth="1"/>
    <col min="11" max="11" width="18" customWidth="1"/>
  </cols>
  <sheetData>
    <row r="1" spans="1:11" ht="32" customHeight="1" x14ac:dyDescent="0.3">
      <c r="A1" s="27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2.05" customHeight="1" x14ac:dyDescent="0.3">
      <c r="A2" s="13" t="s">
        <v>1</v>
      </c>
      <c r="B2" s="14"/>
      <c r="C2" s="14"/>
      <c r="D2" s="14"/>
      <c r="E2" s="14"/>
      <c r="F2" s="14"/>
      <c r="G2" s="26" t="s">
        <v>2</v>
      </c>
      <c r="H2" s="14"/>
      <c r="I2" s="14"/>
      <c r="J2" s="14"/>
      <c r="K2" s="14"/>
    </row>
    <row r="3" spans="1:11" ht="28.05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</row>
    <row r="4" spans="1:11" ht="36" customHeight="1" x14ac:dyDescent="0.3">
      <c r="A4" s="2">
        <v>1</v>
      </c>
      <c r="B4" s="15" t="s">
        <v>14</v>
      </c>
      <c r="C4" s="2" t="s">
        <v>15</v>
      </c>
      <c r="D4" s="2" t="s">
        <v>16</v>
      </c>
      <c r="E4" s="2" t="s">
        <v>17</v>
      </c>
      <c r="F4" s="3" t="s">
        <v>18</v>
      </c>
      <c r="G4" s="2" t="s">
        <v>19</v>
      </c>
      <c r="H4" s="4">
        <v>1</v>
      </c>
      <c r="I4" s="4">
        <v>0</v>
      </c>
      <c r="J4" s="4">
        <v>0</v>
      </c>
      <c r="K4" s="3" t="s">
        <v>20</v>
      </c>
    </row>
    <row r="5" spans="1:11" ht="36" customHeight="1" x14ac:dyDescent="0.3">
      <c r="A5" s="2">
        <v>2</v>
      </c>
      <c r="B5" s="16"/>
      <c r="C5" s="2" t="s">
        <v>21</v>
      </c>
      <c r="D5" s="2" t="s">
        <v>22</v>
      </c>
      <c r="E5" s="2" t="s">
        <v>23</v>
      </c>
      <c r="F5" s="3" t="s">
        <v>24</v>
      </c>
      <c r="G5" s="2" t="s">
        <v>25</v>
      </c>
      <c r="H5" s="4">
        <v>1</v>
      </c>
      <c r="I5" s="4">
        <v>0</v>
      </c>
      <c r="J5" s="4">
        <v>0</v>
      </c>
      <c r="K5" s="3" t="s">
        <v>20</v>
      </c>
    </row>
    <row r="6" spans="1:11" ht="36" customHeight="1" x14ac:dyDescent="0.3">
      <c r="A6" s="2">
        <v>3</v>
      </c>
      <c r="B6" s="16"/>
      <c r="C6" s="2" t="s">
        <v>21</v>
      </c>
      <c r="D6" s="2" t="s">
        <v>26</v>
      </c>
      <c r="E6" s="2" t="s">
        <v>27</v>
      </c>
      <c r="F6" s="3" t="s">
        <v>28</v>
      </c>
      <c r="G6" s="2" t="s">
        <v>25</v>
      </c>
      <c r="H6" s="4">
        <v>1</v>
      </c>
      <c r="I6" s="4">
        <v>0</v>
      </c>
      <c r="J6" s="4">
        <v>0</v>
      </c>
      <c r="K6" s="3" t="s">
        <v>20</v>
      </c>
    </row>
    <row r="7" spans="1:11" ht="36" customHeight="1" x14ac:dyDescent="0.3">
      <c r="A7" s="2">
        <v>4</v>
      </c>
      <c r="B7" s="16"/>
      <c r="C7" s="2" t="s">
        <v>29</v>
      </c>
      <c r="D7" s="2" t="s">
        <v>30</v>
      </c>
      <c r="E7" s="2" t="s">
        <v>31</v>
      </c>
      <c r="F7" s="3" t="s">
        <v>32</v>
      </c>
      <c r="G7" s="2" t="s">
        <v>25</v>
      </c>
      <c r="H7" s="4">
        <v>1</v>
      </c>
      <c r="I7" s="4">
        <v>0</v>
      </c>
      <c r="J7" s="4">
        <v>0</v>
      </c>
      <c r="K7" s="3" t="s">
        <v>20</v>
      </c>
    </row>
    <row r="8" spans="1:11" ht="36" customHeight="1" x14ac:dyDescent="0.3">
      <c r="A8" s="2">
        <v>5</v>
      </c>
      <c r="B8" s="16"/>
      <c r="C8" s="2" t="s">
        <v>29</v>
      </c>
      <c r="D8" s="2" t="s">
        <v>33</v>
      </c>
      <c r="E8" s="2" t="s">
        <v>34</v>
      </c>
      <c r="F8" s="3" t="s">
        <v>35</v>
      </c>
      <c r="G8" s="2" t="s">
        <v>25</v>
      </c>
      <c r="H8" s="4">
        <v>1</v>
      </c>
      <c r="I8" s="4">
        <v>0</v>
      </c>
      <c r="J8" s="4">
        <v>0</v>
      </c>
      <c r="K8" s="3" t="s">
        <v>20</v>
      </c>
    </row>
    <row r="9" spans="1:11" ht="36" customHeight="1" x14ac:dyDescent="0.3">
      <c r="A9" s="2">
        <v>6</v>
      </c>
      <c r="B9" s="16"/>
      <c r="C9" s="2" t="s">
        <v>36</v>
      </c>
      <c r="D9" s="2" t="s">
        <v>37</v>
      </c>
      <c r="E9" s="2" t="s">
        <v>38</v>
      </c>
      <c r="F9" s="3" t="s">
        <v>39</v>
      </c>
      <c r="G9" s="2" t="s">
        <v>25</v>
      </c>
      <c r="H9" s="4">
        <v>1</v>
      </c>
      <c r="I9" s="4">
        <v>0</v>
      </c>
      <c r="J9" s="4">
        <v>0</v>
      </c>
      <c r="K9" s="3" t="s">
        <v>20</v>
      </c>
    </row>
    <row r="10" spans="1:11" ht="42" customHeight="1" x14ac:dyDescent="0.3">
      <c r="A10" s="2">
        <v>7</v>
      </c>
      <c r="B10" s="16"/>
      <c r="C10" s="2" t="s">
        <v>40</v>
      </c>
      <c r="D10" s="2" t="s">
        <v>41</v>
      </c>
      <c r="E10" s="2" t="s">
        <v>42</v>
      </c>
      <c r="F10" s="3" t="s">
        <v>43</v>
      </c>
      <c r="G10" s="2" t="s">
        <v>25</v>
      </c>
      <c r="H10" s="4">
        <v>1</v>
      </c>
      <c r="I10" s="4">
        <v>0</v>
      </c>
      <c r="J10" s="4">
        <v>0</v>
      </c>
      <c r="K10" s="3" t="s">
        <v>20</v>
      </c>
    </row>
    <row r="11" spans="1:11" ht="42" customHeight="1" x14ac:dyDescent="0.3">
      <c r="A11" s="2">
        <v>8</v>
      </c>
      <c r="B11" s="16"/>
      <c r="C11" s="2" t="s">
        <v>40</v>
      </c>
      <c r="D11" s="2" t="s">
        <v>44</v>
      </c>
      <c r="E11" s="2" t="s">
        <v>45</v>
      </c>
      <c r="F11" s="3" t="s">
        <v>46</v>
      </c>
      <c r="G11" s="2" t="s">
        <v>25</v>
      </c>
      <c r="H11" s="4">
        <v>1</v>
      </c>
      <c r="I11" s="4">
        <v>0</v>
      </c>
      <c r="J11" s="4">
        <v>0</v>
      </c>
      <c r="K11" s="3" t="s">
        <v>20</v>
      </c>
    </row>
    <row r="12" spans="1:11" ht="42" customHeight="1" x14ac:dyDescent="0.3">
      <c r="A12" s="2">
        <v>9</v>
      </c>
      <c r="B12" s="16"/>
      <c r="C12" s="2" t="s">
        <v>40</v>
      </c>
      <c r="D12" s="2" t="s">
        <v>47</v>
      </c>
      <c r="E12" s="2" t="s">
        <v>48</v>
      </c>
      <c r="F12" s="3" t="s">
        <v>49</v>
      </c>
      <c r="G12" s="2" t="s">
        <v>25</v>
      </c>
      <c r="H12" s="4">
        <v>1</v>
      </c>
      <c r="I12" s="4">
        <v>0</v>
      </c>
      <c r="J12" s="4">
        <v>0</v>
      </c>
      <c r="K12" s="3" t="s">
        <v>20</v>
      </c>
    </row>
    <row r="13" spans="1:11" ht="42" customHeight="1" x14ac:dyDescent="0.3">
      <c r="A13" s="2">
        <v>10</v>
      </c>
      <c r="B13" s="16"/>
      <c r="C13" s="2" t="s">
        <v>50</v>
      </c>
      <c r="D13" s="2" t="s">
        <v>51</v>
      </c>
      <c r="E13" s="2" t="s">
        <v>52</v>
      </c>
      <c r="F13" s="3" t="s">
        <v>53</v>
      </c>
      <c r="G13" s="2" t="s">
        <v>25</v>
      </c>
      <c r="H13" s="4">
        <v>1</v>
      </c>
      <c r="I13" s="4">
        <v>0</v>
      </c>
      <c r="J13" s="4">
        <v>0</v>
      </c>
      <c r="K13" s="3" t="s">
        <v>20</v>
      </c>
    </row>
    <row r="14" spans="1:11" ht="36" customHeight="1" x14ac:dyDescent="0.3">
      <c r="A14" s="2">
        <v>11</v>
      </c>
      <c r="B14" s="16"/>
      <c r="C14" s="2" t="s">
        <v>50</v>
      </c>
      <c r="D14" s="2" t="s">
        <v>54</v>
      </c>
      <c r="E14" s="2" t="s">
        <v>55</v>
      </c>
      <c r="F14" s="3" t="s">
        <v>56</v>
      </c>
      <c r="G14" s="2" t="s">
        <v>25</v>
      </c>
      <c r="H14" s="4">
        <v>1</v>
      </c>
      <c r="I14" s="4">
        <v>0</v>
      </c>
      <c r="J14" s="4">
        <v>0</v>
      </c>
      <c r="K14" s="3" t="s">
        <v>20</v>
      </c>
    </row>
    <row r="15" spans="1:11" ht="48" customHeight="1" x14ac:dyDescent="0.3">
      <c r="A15" s="2">
        <v>12</v>
      </c>
      <c r="B15" s="16"/>
      <c r="C15" s="2" t="s">
        <v>57</v>
      </c>
      <c r="D15" s="2" t="s">
        <v>58</v>
      </c>
      <c r="E15" s="2" t="s">
        <v>59</v>
      </c>
      <c r="F15" s="3" t="s">
        <v>60</v>
      </c>
      <c r="G15" s="2" t="s">
        <v>61</v>
      </c>
      <c r="H15" s="4">
        <v>3</v>
      </c>
      <c r="I15" s="4">
        <v>0</v>
      </c>
      <c r="J15" s="4">
        <v>0</v>
      </c>
      <c r="K15" s="3" t="s">
        <v>62</v>
      </c>
    </row>
    <row r="16" spans="1:11" ht="36" customHeight="1" x14ac:dyDescent="0.3">
      <c r="A16" s="5">
        <v>13</v>
      </c>
      <c r="B16" s="17"/>
      <c r="C16" s="5" t="s">
        <v>63</v>
      </c>
      <c r="D16" s="5" t="s">
        <v>64</v>
      </c>
      <c r="E16" s="5" t="s">
        <v>65</v>
      </c>
      <c r="F16" s="6" t="s">
        <v>66</v>
      </c>
      <c r="G16" s="5" t="s">
        <v>19</v>
      </c>
      <c r="H16" s="7">
        <v>1</v>
      </c>
      <c r="I16" s="7">
        <v>60000</v>
      </c>
      <c r="J16" s="7">
        <f>H16*I16</f>
        <v>60000</v>
      </c>
      <c r="K16" s="6" t="s">
        <v>67</v>
      </c>
    </row>
    <row r="17" spans="1:11" ht="36" customHeight="1" x14ac:dyDescent="0.3">
      <c r="A17" s="2">
        <v>14</v>
      </c>
      <c r="B17" s="15" t="s">
        <v>68</v>
      </c>
      <c r="C17" s="2" t="s">
        <v>69</v>
      </c>
      <c r="D17" s="2" t="s">
        <v>70</v>
      </c>
      <c r="E17" s="2" t="s">
        <v>71</v>
      </c>
      <c r="F17" s="3" t="s">
        <v>72</v>
      </c>
      <c r="G17" s="2" t="s">
        <v>25</v>
      </c>
      <c r="H17" s="4">
        <v>1</v>
      </c>
      <c r="I17" s="4">
        <v>0</v>
      </c>
      <c r="J17" s="4">
        <v>0</v>
      </c>
      <c r="K17" s="3" t="s">
        <v>73</v>
      </c>
    </row>
    <row r="18" spans="1:11" ht="36" customHeight="1" x14ac:dyDescent="0.3">
      <c r="A18" s="2">
        <v>15</v>
      </c>
      <c r="B18" s="16"/>
      <c r="C18" s="2" t="s">
        <v>69</v>
      </c>
      <c r="D18" s="2" t="s">
        <v>70</v>
      </c>
      <c r="E18" s="2" t="s">
        <v>74</v>
      </c>
      <c r="F18" s="3" t="s">
        <v>75</v>
      </c>
      <c r="G18" s="2" t="s">
        <v>25</v>
      </c>
      <c r="H18" s="4">
        <v>1</v>
      </c>
      <c r="I18" s="4">
        <v>0</v>
      </c>
      <c r="J18" s="4">
        <v>0</v>
      </c>
      <c r="K18" s="3" t="s">
        <v>73</v>
      </c>
    </row>
    <row r="19" spans="1:11" ht="36" customHeight="1" x14ac:dyDescent="0.3">
      <c r="A19" s="2">
        <v>16</v>
      </c>
      <c r="B19" s="16"/>
      <c r="C19" s="2" t="s">
        <v>69</v>
      </c>
      <c r="D19" s="2" t="s">
        <v>70</v>
      </c>
      <c r="E19" s="2" t="s">
        <v>76</v>
      </c>
      <c r="F19" s="3" t="s">
        <v>77</v>
      </c>
      <c r="G19" s="2" t="s">
        <v>25</v>
      </c>
      <c r="H19" s="4">
        <v>1</v>
      </c>
      <c r="I19" s="4">
        <v>0</v>
      </c>
      <c r="J19" s="4">
        <v>0</v>
      </c>
      <c r="K19" s="3" t="s">
        <v>73</v>
      </c>
    </row>
    <row r="20" spans="1:11" ht="42" customHeight="1" x14ac:dyDescent="0.3">
      <c r="A20" s="5">
        <v>17</v>
      </c>
      <c r="B20" s="17"/>
      <c r="C20" s="5" t="s">
        <v>78</v>
      </c>
      <c r="D20" s="5" t="s">
        <v>79</v>
      </c>
      <c r="E20" s="5" t="s">
        <v>80</v>
      </c>
      <c r="F20" s="6" t="s">
        <v>81</v>
      </c>
      <c r="G20" s="5" t="s">
        <v>61</v>
      </c>
      <c r="H20" s="7">
        <v>0</v>
      </c>
      <c r="I20" s="7">
        <v>2500</v>
      </c>
      <c r="J20" s="7">
        <f>H20*I20</f>
        <v>0</v>
      </c>
      <c r="K20" s="6" t="s">
        <v>82</v>
      </c>
    </row>
    <row r="21" spans="1:11" ht="30" customHeight="1" x14ac:dyDescent="0.3">
      <c r="A21" s="2">
        <v>18</v>
      </c>
      <c r="B21" s="15" t="s">
        <v>83</v>
      </c>
      <c r="C21" s="2" t="s">
        <v>84</v>
      </c>
      <c r="D21" s="2" t="s">
        <v>85</v>
      </c>
      <c r="E21" s="2" t="s">
        <v>86</v>
      </c>
      <c r="F21" s="3" t="s">
        <v>87</v>
      </c>
      <c r="G21" s="2" t="s">
        <v>25</v>
      </c>
      <c r="H21" s="4">
        <v>1</v>
      </c>
      <c r="I21" s="4">
        <v>0</v>
      </c>
      <c r="J21" s="4">
        <v>0</v>
      </c>
      <c r="K21" s="3" t="s">
        <v>88</v>
      </c>
    </row>
    <row r="22" spans="1:11" ht="36" customHeight="1" x14ac:dyDescent="0.3">
      <c r="A22" s="2">
        <v>19</v>
      </c>
      <c r="B22" s="16"/>
      <c r="C22" s="2" t="s">
        <v>84</v>
      </c>
      <c r="D22" s="2" t="s">
        <v>47</v>
      </c>
      <c r="E22" s="2" t="s">
        <v>89</v>
      </c>
      <c r="F22" s="3" t="s">
        <v>90</v>
      </c>
      <c r="G22" s="2" t="s">
        <v>25</v>
      </c>
      <c r="H22" s="4">
        <v>1</v>
      </c>
      <c r="I22" s="4">
        <v>0</v>
      </c>
      <c r="J22" s="4">
        <v>0</v>
      </c>
      <c r="K22" s="3" t="s">
        <v>88</v>
      </c>
    </row>
    <row r="23" spans="1:11" ht="36" customHeight="1" x14ac:dyDescent="0.3">
      <c r="A23" s="2">
        <v>20</v>
      </c>
      <c r="B23" s="16"/>
      <c r="C23" s="2" t="s">
        <v>84</v>
      </c>
      <c r="D23" s="2" t="s">
        <v>91</v>
      </c>
      <c r="E23" s="2" t="s">
        <v>92</v>
      </c>
      <c r="F23" s="3" t="s">
        <v>93</v>
      </c>
      <c r="G23" s="2" t="s">
        <v>25</v>
      </c>
      <c r="H23" s="4">
        <v>1</v>
      </c>
      <c r="I23" s="4">
        <v>0</v>
      </c>
      <c r="J23" s="4">
        <v>0</v>
      </c>
      <c r="K23" s="3" t="s">
        <v>88</v>
      </c>
    </row>
    <row r="24" spans="1:11" ht="36" customHeight="1" x14ac:dyDescent="0.3">
      <c r="A24" s="5">
        <v>21</v>
      </c>
      <c r="B24" s="17"/>
      <c r="C24" s="5" t="s">
        <v>78</v>
      </c>
      <c r="D24" s="5" t="s">
        <v>94</v>
      </c>
      <c r="E24" s="5" t="s">
        <v>83</v>
      </c>
      <c r="F24" s="6" t="s">
        <v>95</v>
      </c>
      <c r="G24" s="5" t="s">
        <v>96</v>
      </c>
      <c r="H24" s="7">
        <v>1</v>
      </c>
      <c r="I24" s="7">
        <v>10000</v>
      </c>
      <c r="J24" s="7">
        <f>H24*I24</f>
        <v>10000</v>
      </c>
      <c r="K24" s="6" t="s">
        <v>97</v>
      </c>
    </row>
    <row r="25" spans="1:11" ht="24" customHeight="1" x14ac:dyDescent="0.3">
      <c r="A25" s="18" t="s">
        <v>98</v>
      </c>
      <c r="B25" s="19"/>
      <c r="C25" s="19"/>
      <c r="D25" s="19"/>
      <c r="E25" s="19"/>
      <c r="F25" s="19"/>
      <c r="G25" s="19"/>
      <c r="H25" s="8"/>
      <c r="I25" s="8"/>
      <c r="J25" s="9">
        <f>J16+J20+J24</f>
        <v>70000</v>
      </c>
      <c r="K25" s="8"/>
    </row>
    <row r="26" spans="1:11" ht="78" customHeight="1" x14ac:dyDescent="0.3">
      <c r="A26" s="2">
        <v>22</v>
      </c>
      <c r="B26" s="10" t="s">
        <v>99</v>
      </c>
      <c r="C26" s="25" t="s">
        <v>100</v>
      </c>
      <c r="D26" s="15"/>
      <c r="E26" s="15"/>
      <c r="F26" s="15"/>
      <c r="G26" s="2" t="s">
        <v>25</v>
      </c>
      <c r="H26" s="2">
        <v>1</v>
      </c>
      <c r="I26" s="4">
        <v>0</v>
      </c>
      <c r="J26" s="4">
        <f>H26*I26</f>
        <v>0</v>
      </c>
      <c r="K26" s="3" t="s">
        <v>101</v>
      </c>
    </row>
    <row r="27" spans="1:11" x14ac:dyDescent="0.3">
      <c r="A27" s="18" t="s">
        <v>102</v>
      </c>
      <c r="B27" s="19"/>
      <c r="C27" s="19"/>
      <c r="D27" s="19"/>
      <c r="E27" s="19"/>
      <c r="F27" s="19"/>
      <c r="G27" s="19"/>
      <c r="H27" s="8"/>
      <c r="I27" s="8"/>
      <c r="J27" s="9">
        <f>J26</f>
        <v>0</v>
      </c>
      <c r="K27" s="8"/>
    </row>
    <row r="28" spans="1:11" ht="28.05" customHeight="1" x14ac:dyDescent="0.3">
      <c r="A28" s="20" t="s">
        <v>103</v>
      </c>
      <c r="B28" s="21"/>
      <c r="C28" s="21"/>
      <c r="D28" s="21"/>
      <c r="E28" s="21"/>
      <c r="F28" s="21"/>
      <c r="G28" s="21"/>
      <c r="H28" s="21"/>
      <c r="I28" s="21"/>
      <c r="J28" s="11">
        <f>J25+J27</f>
        <v>70000</v>
      </c>
      <c r="K28" s="12" t="s">
        <v>104</v>
      </c>
    </row>
    <row r="30" spans="1:11" ht="96" customHeight="1" x14ac:dyDescent="0.3">
      <c r="A30" s="22" t="s">
        <v>105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2" spans="1:11" ht="36" customHeight="1" x14ac:dyDescent="0.3">
      <c r="A32" s="24" t="s">
        <v>106</v>
      </c>
      <c r="B32" s="14"/>
      <c r="C32" s="14"/>
      <c r="D32" s="14"/>
      <c r="E32" s="14"/>
      <c r="F32" s="24" t="s">
        <v>107</v>
      </c>
      <c r="G32" s="14"/>
      <c r="H32" s="14"/>
      <c r="I32" s="14"/>
      <c r="J32" s="14"/>
      <c r="K32" s="14"/>
    </row>
    <row r="33" spans="1:11" x14ac:dyDescent="0.3">
      <c r="A33" s="24" t="s">
        <v>108</v>
      </c>
      <c r="B33" s="14"/>
      <c r="C33" s="14"/>
      <c r="D33" s="14"/>
      <c r="E33" s="14"/>
      <c r="F33" s="24" t="s">
        <v>108</v>
      </c>
      <c r="G33" s="14"/>
      <c r="H33" s="14"/>
      <c r="I33" s="14"/>
      <c r="J33" s="14"/>
      <c r="K33" s="14"/>
    </row>
  </sheetData>
  <mergeCells count="15">
    <mergeCell ref="A1:K1"/>
    <mergeCell ref="A30:K30"/>
    <mergeCell ref="F33:K33"/>
    <mergeCell ref="C26:F26"/>
    <mergeCell ref="G2:K2"/>
    <mergeCell ref="F32:K32"/>
    <mergeCell ref="A33:E33"/>
    <mergeCell ref="B21:B24"/>
    <mergeCell ref="A32:E32"/>
    <mergeCell ref="A25:G25"/>
    <mergeCell ref="A2:F2"/>
    <mergeCell ref="B17:B20"/>
    <mergeCell ref="B4:B16"/>
    <mergeCell ref="A27:G27"/>
    <mergeCell ref="A28:I28"/>
  </mergeCells>
  <phoneticPr fontId="6" type="noConversion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产品报价</vt:lpstr>
      <vt:lpstr>产品报价!Print_Titles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华楠 何</cp:lastModifiedBy>
  <dcterms:created xsi:type="dcterms:W3CDTF">2026-07-23T03:36:12Z</dcterms:created>
  <dcterms:modified xsi:type="dcterms:W3CDTF">2026-07-23T03:43:38Z</dcterms:modified>
</cp:coreProperties>
</file>