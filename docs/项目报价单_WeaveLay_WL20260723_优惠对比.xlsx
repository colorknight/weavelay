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报价" sheetId="1" state="visible" r:id="rId1"/>
  </sheets>
  <definedNames>
    <definedName name="_xlnm.Print_Titles" localSheetId="0">'产品报价'!$1:$3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color rgb="00C00000"/>
      <sz val="10"/>
    </font>
    <font>
      <name val="宋体"/>
      <b val="1"/>
      <sz val="11"/>
    </font>
    <font>
      <name val="宋体"/>
      <b val="1"/>
      <color rgb="00006100"/>
      <sz val="12"/>
    </font>
    <font>
      <name val="宋体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D8D8D8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4" borderId="1" applyAlignment="1" pivotButton="0" quotePrefix="0" xfId="0">
      <alignment horizontal="right" vertical="center" wrapText="1"/>
    </xf>
    <xf numFmtId="0" fontId="0" fillId="4" borderId="1" pivotButton="0" quotePrefix="0" xfId="0"/>
    <xf numFmtId="3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right" vertical="center" wrapText="1"/>
    </xf>
    <xf numFmtId="3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right" vertical="center" wrapText="1"/>
    </xf>
    <xf numFmtId="0" fontId="0" fillId="6" borderId="1" pivotButton="0" quotePrefix="0" xfId="0"/>
    <xf numFmtId="3" fontId="6" fillId="6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workbookViewId="0">
      <selection activeCell="A1" sqref="A1"/>
    </sheetView>
  </sheetViews>
  <sheetFormatPr baseColWidth="8" defaultRowHeight="15"/>
  <cols>
    <col width="5.5" customWidth="1" min="1" max="1"/>
    <col width="12" customWidth="1" min="2" max="2"/>
    <col width="12" customWidth="1" min="3" max="3"/>
    <col width="14" customWidth="1" min="4" max="4"/>
    <col width="16" customWidth="1" min="5" max="5"/>
    <col width="52" customWidth="1" min="6" max="6"/>
    <col width="7" customWidth="1" min="7" max="7"/>
    <col width="7" customWidth="1" min="8" max="8"/>
    <col width="13" customWidth="1" min="9" max="9"/>
    <col width="13" customWidth="1" min="10" max="10"/>
    <col width="18" customWidth="1" min="11" max="11"/>
  </cols>
  <sheetData>
    <row r="1" ht="32" customHeight="1">
      <c r="A1" s="1" t="inlineStr">
        <is>
          <t>织版（WeaveLay）工业规程文档 OCR 提取软件 — 产品报价单（明细估价 / 优惠成交）</t>
        </is>
      </c>
    </row>
    <row r="2" ht="22" customHeight="1">
      <c r="A2" s="2" t="inlineStr">
        <is>
          <t>报价编号：WL20260723-D　　报价日期：2026年07月23日　　币种：人民币（元）</t>
        </is>
      </c>
      <c r="G2" s="3" t="inlineStr">
        <is>
          <t>说明：下表为标准能力估价；底部为对贵方优惠成交价</t>
        </is>
      </c>
    </row>
    <row r="3" ht="30" customHeight="1">
      <c r="A3" s="4" t="inlineStr">
        <is>
          <t>序号</t>
        </is>
      </c>
      <c r="B3" s="4" t="inlineStr">
        <is>
          <t>类型</t>
        </is>
      </c>
      <c r="C3" s="4" t="inlineStr">
        <is>
          <t>业务板块</t>
        </is>
      </c>
      <c r="D3" s="4" t="inlineStr">
        <is>
          <t>模块</t>
        </is>
      </c>
      <c r="E3" s="4" t="inlineStr">
        <is>
          <t>功能</t>
        </is>
      </c>
      <c r="F3" s="4" t="inlineStr">
        <is>
          <t>详细内容</t>
        </is>
      </c>
      <c r="G3" s="4" t="inlineStr">
        <is>
          <t>单位</t>
        </is>
      </c>
      <c r="H3" s="4" t="inlineStr">
        <is>
          <t>数量</t>
        </is>
      </c>
      <c r="I3" s="4" t="inlineStr">
        <is>
          <t>标准单价（元）</t>
        </is>
      </c>
      <c r="J3" s="4" t="inlineStr">
        <is>
          <t>标准金额（元）</t>
        </is>
      </c>
      <c r="K3" s="4" t="inlineStr">
        <is>
          <t>备注</t>
        </is>
      </c>
    </row>
    <row r="4" ht="36" customHeight="1">
      <c r="A4" s="5" t="n">
        <v>1</v>
      </c>
      <c r="B4" s="5" t="inlineStr">
        <is>
          <t>基础软件</t>
        </is>
      </c>
      <c r="C4" s="5" t="inlineStr">
        <is>
          <t>软件交付</t>
        </is>
      </c>
      <c r="D4" s="5" t="inlineStr">
        <is>
          <t>桌面客户端</t>
        </is>
      </c>
      <c r="E4" s="5" t="inlineStr">
        <is>
          <t>安装与运行</t>
        </is>
      </c>
      <c r="F4" s="6" t="inlineStr">
        <is>
          <t>提供 Windows 单机便携版，解压即可使用，无需另行安装开发环境；支持按机器授权激活。</t>
        </is>
      </c>
      <c r="G4" s="5" t="inlineStr">
        <is>
          <t>项</t>
        </is>
      </c>
      <c r="H4" s="7" t="n">
        <v>1</v>
      </c>
      <c r="I4" s="7" t="n">
        <v>8000</v>
      </c>
      <c r="J4" s="7">
        <f>H4*I4</f>
        <v/>
      </c>
      <c r="K4" s="6" t="inlineStr">
        <is>
          <t>标准能力估价</t>
        </is>
      </c>
    </row>
    <row r="5" ht="36" customHeight="1">
      <c r="A5" s="5" t="n">
        <v>2</v>
      </c>
      <c r="B5" s="8" t="n"/>
      <c r="C5" s="5" t="inlineStr">
        <is>
          <t>文档处理</t>
        </is>
      </c>
      <c r="D5" s="5" t="inlineStr">
        <is>
          <t>批量识别</t>
        </is>
      </c>
      <c r="E5" s="5" t="inlineStr">
        <is>
          <t>PDF 批量提取</t>
        </is>
      </c>
      <c r="F5" s="6" t="inlineStr">
        <is>
          <t>支持按文件夹批量处理工艺规程等 PDF 文档；可多文件连续切换，记住常用目录与导出位置。</t>
        </is>
      </c>
      <c r="G5" s="5" t="inlineStr">
        <is>
          <t>项</t>
        </is>
      </c>
      <c r="H5" s="7" t="n">
        <v>1</v>
      </c>
      <c r="I5" s="7" t="n">
        <v>6000</v>
      </c>
      <c r="J5" s="7">
        <f>H5*I5</f>
        <v/>
      </c>
      <c r="K5" s="6" t="inlineStr">
        <is>
          <t>标准能力估价</t>
        </is>
      </c>
    </row>
    <row r="6" ht="36" customHeight="1">
      <c r="A6" s="5" t="n">
        <v>3</v>
      </c>
      <c r="B6" s="8" t="n"/>
      <c r="C6" s="5" t="inlineStr">
        <is>
          <t>文档处理</t>
        </is>
      </c>
      <c r="D6" s="5" t="inlineStr">
        <is>
          <t>对照预览</t>
        </is>
      </c>
      <c r="E6" s="5" t="inlineStr">
        <is>
          <t>原图与识别结果对照</t>
        </is>
      </c>
      <c r="F6" s="6" t="inlineStr">
        <is>
          <t>页面原图与识别结果左右对照显示，文字与表格区域可视化标注，便于核对提取是否正确；支持翻页浏览。</t>
        </is>
      </c>
      <c r="G6" s="5" t="inlineStr">
        <is>
          <t>项</t>
        </is>
      </c>
      <c r="H6" s="7" t="n">
        <v>1</v>
      </c>
      <c r="I6" s="7" t="n">
        <v>5000</v>
      </c>
      <c r="J6" s="7">
        <f>H6*I6</f>
        <v/>
      </c>
      <c r="K6" s="6" t="inlineStr">
        <is>
          <t>标准能力估价</t>
        </is>
      </c>
    </row>
    <row r="7" ht="36" customHeight="1">
      <c r="A7" s="5" t="n">
        <v>4</v>
      </c>
      <c r="B7" s="8" t="n"/>
      <c r="C7" s="5" t="inlineStr">
        <is>
          <t>智能识别</t>
        </is>
      </c>
      <c r="D7" s="5" t="inlineStr">
        <is>
          <t>文字识别</t>
        </is>
      </c>
      <c r="E7" s="5" t="inlineStr">
        <is>
          <t>中文 OCR 识别</t>
        </is>
      </c>
      <c r="F7" s="6" t="inlineStr">
        <is>
          <t>内置本地中文 OCR 引擎，对规程正文、表头、工序号等内容自动识别；识别在本机完成，不依赖外网。</t>
        </is>
      </c>
      <c r="G7" s="5" t="inlineStr">
        <is>
          <t>项</t>
        </is>
      </c>
      <c r="H7" s="7" t="n">
        <v>1</v>
      </c>
      <c r="I7" s="7" t="n">
        <v>18000</v>
      </c>
      <c r="J7" s="7">
        <f>H7*I7</f>
        <v/>
      </c>
      <c r="K7" s="6" t="inlineStr">
        <is>
          <t>标准能力估价</t>
        </is>
      </c>
    </row>
    <row r="8" ht="36" customHeight="1">
      <c r="A8" s="5" t="n">
        <v>5</v>
      </c>
      <c r="B8" s="8" t="n"/>
      <c r="C8" s="5" t="inlineStr">
        <is>
          <t>智能识别</t>
        </is>
      </c>
      <c r="D8" s="5" t="inlineStr">
        <is>
          <t>表格与公式</t>
        </is>
      </c>
      <c r="E8" s="5" t="inlineStr">
        <is>
          <t>表格提取 / 公式识别</t>
        </is>
      </c>
      <c r="F8" s="6" t="inlineStr">
        <is>
          <t>支持工序目录等表格的行列提取；支持公差、直径、上下标等工业常见公式与特殊符号的识别与还原。</t>
        </is>
      </c>
      <c r="G8" s="5" t="inlineStr">
        <is>
          <t>项</t>
        </is>
      </c>
      <c r="H8" s="7" t="n">
        <v>1</v>
      </c>
      <c r="I8" s="7" t="n">
        <v>15000</v>
      </c>
      <c r="J8" s="7">
        <f>H8*I8</f>
        <v/>
      </c>
      <c r="K8" s="6" t="inlineStr">
        <is>
          <t>标准能力估价</t>
        </is>
      </c>
    </row>
    <row r="9" ht="36" customHeight="1">
      <c r="A9" s="5" t="n">
        <v>6</v>
      </c>
      <c r="B9" s="8" t="n"/>
      <c r="C9" s="5" t="inlineStr">
        <is>
          <t>人工校对</t>
        </is>
      </c>
      <c r="D9" s="5" t="inlineStr">
        <is>
          <t>结果修正</t>
        </is>
      </c>
      <c r="E9" s="5" t="inlineStr">
        <is>
          <t>人工校对与修正</t>
        </is>
      </c>
      <c r="F9" s="6" t="inlineStr">
        <is>
          <t>支持对识别结果进行人工校对与修改；可录入或修正特殊符号、公式内容，保证最终入库数据准确。</t>
        </is>
      </c>
      <c r="G9" s="5" t="inlineStr">
        <is>
          <t>项</t>
        </is>
      </c>
      <c r="H9" s="7" t="n">
        <v>1</v>
      </c>
      <c r="I9" s="7" t="n">
        <v>5000</v>
      </c>
      <c r="J9" s="7">
        <f>H9*I9</f>
        <v/>
      </c>
      <c r="K9" s="6" t="inlineStr">
        <is>
          <t>标准能力估价</t>
        </is>
      </c>
    </row>
    <row r="10" ht="42" customHeight="1">
      <c r="A10" s="5" t="n">
        <v>7</v>
      </c>
      <c r="B10" s="8" t="n"/>
      <c r="C10" s="5" t="inlineStr">
        <is>
          <t>模板体系</t>
        </is>
      </c>
      <c r="D10" s="5" t="inlineStr">
        <is>
          <t>页面类型</t>
        </is>
      </c>
      <c r="E10" s="5" t="inlineStr">
        <is>
          <t>按页型提取</t>
        </is>
      </c>
      <c r="F10" s="6" t="inlineStr">
        <is>
          <t>按封面、工序目录、工序图、机加工序卡、检验卡、辅助工序卡等页面类型分别配置提取内容；使用时选择当前页类型后按该页模板提取字段与表格。</t>
        </is>
      </c>
      <c r="G10" s="5" t="inlineStr">
        <is>
          <t>项</t>
        </is>
      </c>
      <c r="H10" s="7" t="n">
        <v>1</v>
      </c>
      <c r="I10" s="7" t="n">
        <v>8000</v>
      </c>
      <c r="J10" s="7">
        <f>H10*I10</f>
        <v/>
      </c>
      <c r="K10" s="6" t="inlineStr">
        <is>
          <t>标准能力估价</t>
        </is>
      </c>
    </row>
    <row r="11" ht="42" customHeight="1">
      <c r="A11" s="5" t="n">
        <v>8</v>
      </c>
      <c r="B11" s="8" t="n"/>
      <c r="C11" s="5" t="inlineStr">
        <is>
          <t>模板体系</t>
        </is>
      </c>
      <c r="D11" s="5" t="inlineStr">
        <is>
          <t>字段提取</t>
        </is>
      </c>
      <c r="E11" s="5" t="inlineStr">
        <is>
          <t>按模板提取字段</t>
        </is>
      </c>
      <c r="F11" s="6" t="inlineStr">
        <is>
          <t>按预先配置的文档模板，从对应页面提取产品代号、工序号、工序名称、毛坯信息等业务字段；支持普通字段与表格内容。</t>
        </is>
      </c>
      <c r="G11" s="5" t="inlineStr">
        <is>
          <t>项</t>
        </is>
      </c>
      <c r="H11" s="7" t="n">
        <v>1</v>
      </c>
      <c r="I11" s="7" t="n">
        <v>10000</v>
      </c>
      <c r="J11" s="7">
        <f>H11*I11</f>
        <v/>
      </c>
      <c r="K11" s="6" t="inlineStr">
        <is>
          <t>标准能力估价</t>
        </is>
      </c>
    </row>
    <row r="12" ht="42" customHeight="1">
      <c r="A12" s="5" t="n">
        <v>9</v>
      </c>
      <c r="B12" s="8" t="n"/>
      <c r="C12" s="5" t="inlineStr">
        <is>
          <t>模板体系</t>
        </is>
      </c>
      <c r="D12" s="5" t="inlineStr">
        <is>
          <t>模板配置</t>
        </is>
      </c>
      <c r="E12" s="5" t="inlineStr">
        <is>
          <t>模板模式自助配置</t>
        </is>
      </c>
      <c r="F12" s="6" t="inlineStr">
        <is>
          <t>提供模板配置能力：可在页面上圈选提取区域、绑定输出字段、维护各页型提取规则，便于后续自行扩展或微调模板。</t>
        </is>
      </c>
      <c r="G12" s="5" t="inlineStr">
        <is>
          <t>项</t>
        </is>
      </c>
      <c r="H12" s="7" t="n">
        <v>1</v>
      </c>
      <c r="I12" s="7" t="n">
        <v>12000</v>
      </c>
      <c r="J12" s="7">
        <f>H12*I12</f>
        <v/>
      </c>
      <c r="K12" s="6" t="inlineStr">
        <is>
          <t>标准能力估价</t>
        </is>
      </c>
    </row>
    <row r="13" ht="36" customHeight="1">
      <c r="A13" s="5" t="n">
        <v>10</v>
      </c>
      <c r="B13" s="8" t="n"/>
      <c r="C13" s="5" t="inlineStr">
        <is>
          <t>结果输出</t>
        </is>
      </c>
      <c r="D13" s="5" t="inlineStr">
        <is>
          <t>结构化导出</t>
        </is>
      </c>
      <c r="E13" s="5" t="inlineStr">
        <is>
          <t>确认并导出 Excel</t>
        </is>
      </c>
      <c r="F13" s="6" t="inlineStr">
        <is>
          <t>提取结果经确认后写入结构化数据，并按约定 Excel 模板导出；支持对接客户现有表格版式。</t>
        </is>
      </c>
      <c r="G13" s="5" t="inlineStr">
        <is>
          <t>项</t>
        </is>
      </c>
      <c r="H13" s="7" t="n">
        <v>1</v>
      </c>
      <c r="I13" s="7" t="n">
        <v>10000</v>
      </c>
      <c r="J13" s="7">
        <f>H13*I13</f>
        <v/>
      </c>
      <c r="K13" s="6" t="inlineStr">
        <is>
          <t>标准能力估价</t>
        </is>
      </c>
    </row>
    <row r="14" ht="36" customHeight="1">
      <c r="A14" s="5" t="n">
        <v>11</v>
      </c>
      <c r="B14" s="8" t="n"/>
      <c r="C14" s="5" t="inlineStr">
        <is>
          <t>结果输出</t>
        </is>
      </c>
      <c r="D14" s="5" t="inlineStr">
        <is>
          <t>生产流程</t>
        </is>
      </c>
      <c r="E14" s="5" t="inlineStr">
        <is>
          <t>应用模式一站式处理</t>
        </is>
      </c>
      <c r="F14" s="6" t="inlineStr">
        <is>
          <t>日常使用流程：打开 PDF 文件夹 → 选择页型 → 按模板提取 → 人工校对 → 确认 → 导出 Excel。</t>
        </is>
      </c>
      <c r="G14" s="5" t="inlineStr">
        <is>
          <t>项</t>
        </is>
      </c>
      <c r="H14" s="7" t="n">
        <v>1</v>
      </c>
      <c r="I14" s="7" t="n">
        <v>4000</v>
      </c>
      <c r="J14" s="7">
        <f>H14*I14</f>
        <v/>
      </c>
      <c r="K14" s="6" t="inlineStr">
        <is>
          <t>标准能力估价</t>
        </is>
      </c>
    </row>
    <row r="15" ht="48" customHeight="1">
      <c r="A15" s="5" t="n">
        <v>12</v>
      </c>
      <c r="B15" s="9" t="n"/>
      <c r="C15" s="5" t="inlineStr">
        <is>
          <t>模板交付</t>
        </is>
      </c>
      <c r="D15" s="5" t="inlineStr">
        <is>
          <t>缺省模板</t>
        </is>
      </c>
      <c r="E15" s="5" t="inlineStr">
        <is>
          <t>文档模板适配（缺省含）</t>
        </is>
      </c>
      <c r="F15" s="6" t="inlineStr">
        <is>
          <t>基础软件缺省含 3 个文档模板适配（页型提取、字段与 Excel 初配）。标准单价按单模板适配市场估价；本行数量 3 为软件标配额度。</t>
        </is>
      </c>
      <c r="G15" s="5" t="inlineStr">
        <is>
          <t>个</t>
        </is>
      </c>
      <c r="H15" s="7" t="n">
        <v>3</v>
      </c>
      <c r="I15" s="7" t="n">
        <v>3500</v>
      </c>
      <c r="J15" s="7">
        <f>H15*I15</f>
        <v/>
      </c>
      <c r="K15" s="6" t="inlineStr">
        <is>
          <t>软件标配 · 标准估价</t>
        </is>
      </c>
    </row>
    <row r="16" ht="36" customHeight="1">
      <c r="A16" s="5" t="n">
        <v>13</v>
      </c>
      <c r="B16" s="5" t="inlineStr">
        <is>
          <t>文档模板适配</t>
        </is>
      </c>
      <c r="C16" s="5" t="inlineStr">
        <is>
          <t>增购服务</t>
        </is>
      </c>
      <c r="D16" s="5" t="inlineStr">
        <is>
          <t>新模板</t>
        </is>
      </c>
      <c r="E16" s="5" t="inlineStr">
        <is>
          <t>版式分析与页型配置</t>
        </is>
      </c>
      <c r="F16" s="6" t="inlineStr">
        <is>
          <t>针对客户新一类规程 PDF，梳理封面、目录、各类工序卡等页面类型，按页配置提取内容与规则。</t>
        </is>
      </c>
      <c r="G16" s="5" t="inlineStr">
        <is>
          <t>项</t>
        </is>
      </c>
      <c r="H16" s="7">
        <f>H28</f>
        <v/>
      </c>
      <c r="I16" s="7" t="n">
        <v>1800</v>
      </c>
      <c r="J16" s="7">
        <f>H16*I16</f>
        <v/>
      </c>
      <c r="K16" s="6" t="inlineStr">
        <is>
          <t>数量随成交区「超出缺省模板」联动</t>
        </is>
      </c>
    </row>
    <row r="17" ht="36" customHeight="1">
      <c r="A17" s="5" t="n">
        <v>14</v>
      </c>
      <c r="B17" s="8" t="n"/>
      <c r="C17" s="5" t="inlineStr">
        <is>
          <t>增购服务</t>
        </is>
      </c>
      <c r="D17" s="5" t="inlineStr">
        <is>
          <t>新模板</t>
        </is>
      </c>
      <c r="E17" s="5" t="inlineStr">
        <is>
          <t>字段与表格提取配置</t>
        </is>
      </c>
      <c r="F17" s="6" t="inlineStr">
        <is>
          <t>按样张配置需提取的业务字段与表格列，完成页面圈选与绑定，保证关键信息可稳定抽出。</t>
        </is>
      </c>
      <c r="G17" s="5" t="inlineStr">
        <is>
          <t>项</t>
        </is>
      </c>
      <c r="H17" s="7">
        <f>H28</f>
        <v/>
      </c>
      <c r="I17" s="7" t="n">
        <v>1800</v>
      </c>
      <c r="J17" s="7">
        <f>H17*I17</f>
        <v/>
      </c>
      <c r="K17" s="6" t="inlineStr">
        <is>
          <t>数量随成交区「超出缺省模板」联动</t>
        </is>
      </c>
    </row>
    <row r="18" ht="36" customHeight="1">
      <c r="A18" s="5" t="n">
        <v>15</v>
      </c>
      <c r="B18" s="9" t="n"/>
      <c r="C18" s="5" t="inlineStr">
        <is>
          <t>增购服务</t>
        </is>
      </c>
      <c r="D18" s="5" t="inlineStr">
        <is>
          <t>新模板</t>
        </is>
      </c>
      <c r="E18" s="5" t="inlineStr">
        <is>
          <t>Excel 输出对接与模板包</t>
        </is>
      </c>
      <c r="F18" s="6" t="inlineStr">
        <is>
          <t>对接客户指定的 Excel 输出版式，样张联调至可稳定导出；交付可导入的模板包。</t>
        </is>
      </c>
      <c r="G18" s="5" t="inlineStr">
        <is>
          <t>项</t>
        </is>
      </c>
      <c r="H18" s="7">
        <f>H28</f>
        <v/>
      </c>
      <c r="I18" s="7" t="n">
        <v>1400</v>
      </c>
      <c r="J18" s="7">
        <f>H18*I18</f>
        <v/>
      </c>
      <c r="K18" s="6" t="inlineStr">
        <is>
          <t>数量随成交区「超出缺省模板」联动</t>
        </is>
      </c>
    </row>
    <row r="19" ht="30" customHeight="1">
      <c r="A19" s="5" t="n">
        <v>16</v>
      </c>
      <c r="B19" s="5" t="inlineStr">
        <is>
          <t>模板编写培训</t>
        </is>
      </c>
      <c r="C19" s="5" t="inlineStr">
        <is>
          <t>培训内容</t>
        </is>
      </c>
      <c r="D19" s="5" t="inlineStr">
        <is>
          <t>上岗使用</t>
        </is>
      </c>
      <c r="E19" s="5" t="inlineStr">
        <is>
          <t>安装、授权与日常操作</t>
        </is>
      </c>
      <c r="F19" s="6" t="inlineStr">
        <is>
          <t>软件安装启动、授权激活、日常批量识别与导出操作演示。</t>
        </is>
      </c>
      <c r="G19" s="5" t="inlineStr">
        <is>
          <t>项</t>
        </is>
      </c>
      <c r="H19" s="7">
        <f>H29</f>
        <v/>
      </c>
      <c r="I19" s="7" t="n">
        <v>4000</v>
      </c>
      <c r="J19" s="7">
        <f>H19*I19</f>
        <v/>
      </c>
      <c r="K19" s="6" t="inlineStr">
        <is>
          <t>数量随成交区「培训」联动</t>
        </is>
      </c>
    </row>
    <row r="20" ht="36" customHeight="1">
      <c r="A20" s="5" t="n">
        <v>17</v>
      </c>
      <c r="B20" s="8" t="n"/>
      <c r="C20" s="5" t="inlineStr">
        <is>
          <t>培训内容</t>
        </is>
      </c>
      <c r="D20" s="5" t="inlineStr">
        <is>
          <t>模板配置</t>
        </is>
      </c>
      <c r="E20" s="5" t="inlineStr">
        <is>
          <t>模板编写与调整</t>
        </is>
      </c>
      <c r="F20" s="6" t="inlineStr">
        <is>
          <t>各页型提取区域圈选与字段绑定、Excel 输出模板对接方法；常见版式问题排查。</t>
        </is>
      </c>
      <c r="G20" s="5" t="inlineStr">
        <is>
          <t>项</t>
        </is>
      </c>
      <c r="H20" s="7">
        <f>H29</f>
        <v/>
      </c>
      <c r="I20" s="7" t="n">
        <v>8000</v>
      </c>
      <c r="J20" s="7">
        <f>H20*I20</f>
        <v/>
      </c>
      <c r="K20" s="6" t="inlineStr">
        <is>
          <t>数量随成交区「培训」联动</t>
        </is>
      </c>
    </row>
    <row r="21" ht="36" customHeight="1">
      <c r="A21" s="5" t="n">
        <v>18</v>
      </c>
      <c r="B21" s="9" t="n"/>
      <c r="C21" s="5" t="inlineStr">
        <is>
          <t>培训内容</t>
        </is>
      </c>
      <c r="D21" s="5" t="inlineStr">
        <is>
          <t>生产与维护</t>
        </is>
      </c>
      <c r="E21" s="5" t="inlineStr">
        <is>
          <t>校对、导出与模板备份</t>
        </is>
      </c>
      <c r="F21" s="6" t="inlineStr">
        <is>
          <t>人工校对修正方法、确认与导出流程；模板备份与多机迁移，便于后期自行维护。</t>
        </is>
      </c>
      <c r="G21" s="5" t="inlineStr">
        <is>
          <t>项</t>
        </is>
      </c>
      <c r="H21" s="7">
        <f>H29</f>
        <v/>
      </c>
      <c r="I21" s="7" t="n">
        <v>4000</v>
      </c>
      <c r="J21" s="7">
        <f>H21*I21</f>
        <v/>
      </c>
      <c r="K21" s="6" t="inlineStr">
        <is>
          <t>数量随成交区「培训」联动</t>
        </is>
      </c>
    </row>
    <row r="22" ht="54" customHeight="1">
      <c r="A22" s="5" t="n">
        <v>19</v>
      </c>
      <c r="B22" s="5" t="inlineStr">
        <is>
          <t>售后服务</t>
        </is>
      </c>
      <c r="C22" s="5" t="inlineStr">
        <is>
          <t>质保服务</t>
        </is>
      </c>
      <c r="D22" s="5" t="inlineStr">
        <is>
          <t>免费质保</t>
        </is>
      </c>
      <c r="E22" s="5" t="inlineStr">
        <is>
          <t>3 个月质保服务</t>
        </is>
      </c>
      <c r="F22" s="6" t="inlineStr">
        <is>
          <t>自验收合格之日起 3 个月：软件缺陷修复；识别/导出异常远程排查；安装与授权指导；缺省模板范围内的规则纠偏。不含新模板开发、新功能定制、自行改动导致的故障等。</t>
        </is>
      </c>
      <c r="G22" s="5" t="inlineStr">
        <is>
          <t>项</t>
        </is>
      </c>
      <c r="H22" s="7" t="n">
        <v>1</v>
      </c>
      <c r="I22" s="7" t="n">
        <v>5000</v>
      </c>
      <c r="J22" s="7">
        <f>H22*I22</f>
        <v/>
      </c>
      <c r="K22" s="6" t="inlineStr">
        <is>
          <t>随软件赠送 · 标准估价</t>
        </is>
      </c>
    </row>
    <row r="23" ht="26" customHeight="1">
      <c r="A23" s="10" t="inlineStr">
        <is>
          <t>标准估价合计（按能力明细累加）</t>
        </is>
      </c>
      <c r="B23" s="15" t="n"/>
      <c r="C23" s="15" t="n"/>
      <c r="D23" s="15" t="n"/>
      <c r="E23" s="15" t="n"/>
      <c r="F23" s="15" t="n"/>
      <c r="G23" s="16" t="n"/>
      <c r="H23" s="11" t="n"/>
      <c r="I23" s="11" t="n"/>
      <c r="J23" s="12">
        <f>J4+J5+J6+J7+J8+J9+J10+J11+J12+J13+J14+J15+J16+J17+J18+J19+J20+J21+J22</f>
        <v/>
      </c>
      <c r="K23" s="11" t="inlineStr">
        <is>
          <t>非最终成交价</t>
        </is>
      </c>
    </row>
    <row r="24"/>
    <row r="25">
      <c r="A25" s="13" t="inlineStr">
        <is>
          <t>【对贵方优惠成交价】（可改数量；金额自动计算）</t>
        </is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6" t="n"/>
    </row>
    <row r="26">
      <c r="A26" s="4" t="inlineStr">
        <is>
          <t>序号</t>
        </is>
      </c>
      <c r="B26" s="4" t="inlineStr">
        <is>
          <t>成交项目</t>
        </is>
      </c>
      <c r="C26" s="15" t="n"/>
      <c r="D26" s="15" t="n"/>
      <c r="E26" s="16" t="n"/>
      <c r="F26" s="4" t="inlineStr">
        <is>
          <t>说明</t>
        </is>
      </c>
      <c r="G26" s="4" t="inlineStr">
        <is>
          <t>单位</t>
        </is>
      </c>
      <c r="H26" s="4" t="inlineStr">
        <is>
          <t>数量</t>
        </is>
      </c>
      <c r="I26" s="4" t="inlineStr">
        <is>
          <t>优惠单价（元）</t>
        </is>
      </c>
      <c r="J26" s="4" t="inlineStr">
        <is>
          <t>成交金额（元）</t>
        </is>
      </c>
      <c r="K26" s="4" t="inlineStr">
        <is>
          <t>备注</t>
        </is>
      </c>
    </row>
    <row r="27" ht="40" customHeight="1">
      <c r="A27" s="5" t="n">
        <v>1</v>
      </c>
      <c r="B27" s="17" t="inlineStr">
        <is>
          <t>基础软件（桌面版）永久授权</t>
        </is>
      </c>
      <c r="C27" s="15" t="n"/>
      <c r="D27" s="15" t="n"/>
      <c r="E27" s="16" t="n"/>
      <c r="F27" s="6" t="inlineStr">
        <is>
          <t>含上表全部软件能力及缺省 3 个文档模板；标准估价见上方明细。</t>
        </is>
      </c>
      <c r="G27" s="5" t="inlineStr">
        <is>
          <t>套</t>
        </is>
      </c>
      <c r="H27" s="7" t="n">
        <v>1</v>
      </c>
      <c r="I27" s="7" t="n">
        <v>60000</v>
      </c>
      <c r="J27" s="7">
        <f>H27*I27</f>
        <v/>
      </c>
      <c r="K27" s="6" t="inlineStr">
        <is>
          <t>优惠打包价</t>
        </is>
      </c>
    </row>
    <row r="28" ht="40" customHeight="1">
      <c r="A28" s="5" t="n">
        <v>2</v>
      </c>
      <c r="B28" s="17" t="inlineStr">
        <is>
          <t>文档模板适配（超出缺省）</t>
        </is>
      </c>
      <c r="C28" s="15" t="n"/>
      <c r="D28" s="15" t="n"/>
      <c r="E28" s="16" t="n"/>
      <c r="F28" s="6" t="inlineStr">
        <is>
          <t>单模板标准估价约 5,000 元；本行按优惠单价成交。修改数量即可增购。</t>
        </is>
      </c>
      <c r="G28" s="5" t="inlineStr">
        <is>
          <t>个</t>
        </is>
      </c>
      <c r="H28" s="7" t="n">
        <v>0</v>
      </c>
      <c r="I28" s="7" t="n">
        <v>2500</v>
      </c>
      <c r="J28" s="7">
        <f>H28*I28</f>
        <v/>
      </c>
      <c r="K28" s="6" t="inlineStr">
        <is>
          <t>缺省 3 个已含在软件中</t>
        </is>
      </c>
    </row>
    <row r="29" ht="40" customHeight="1">
      <c r="A29" s="5" t="n">
        <v>3</v>
      </c>
      <c r="B29" s="17" t="inlineStr">
        <is>
          <t>模板编写培训</t>
        </is>
      </c>
      <c r="C29" s="15" t="n"/>
      <c r="D29" s="15" t="n"/>
      <c r="E29" s="16" t="n"/>
      <c r="F29" s="6" t="inlineStr">
        <is>
          <t>含安装授权、模板编写、校对导出与备份；标准估价见上方培训明细。</t>
        </is>
      </c>
      <c r="G29" s="5" t="inlineStr">
        <is>
          <t>次</t>
        </is>
      </c>
      <c r="H29" s="7" t="n">
        <v>1</v>
      </c>
      <c r="I29" s="7" t="n">
        <v>10000</v>
      </c>
      <c r="J29" s="7">
        <f>H29*I29</f>
        <v/>
      </c>
      <c r="K29" s="6" t="inlineStr">
        <is>
          <t>优惠培训价</t>
        </is>
      </c>
    </row>
    <row r="30" ht="28" customHeight="1">
      <c r="A30" s="18" t="inlineStr">
        <is>
          <t>优惠成交合计</t>
        </is>
      </c>
      <c r="B30" s="15" t="n"/>
      <c r="C30" s="15" t="n"/>
      <c r="D30" s="15" t="n"/>
      <c r="E30" s="15" t="n"/>
      <c r="F30" s="15" t="n"/>
      <c r="G30" s="16" t="n"/>
      <c r="H30" s="14" t="n"/>
      <c r="I30" s="14" t="n"/>
      <c r="J30" s="19">
        <f>J27+J28+J29</f>
        <v/>
      </c>
      <c r="K30" s="14" t="inlineStr">
        <is>
          <t>对贵方最终报价</t>
        </is>
      </c>
    </row>
    <row r="31" ht="26" customHeight="1">
      <c r="A31" s="20" t="inlineStr">
        <is>
          <t>相对标准估价优惠额度</t>
        </is>
      </c>
      <c r="B31" s="15" t="n"/>
      <c r="C31" s="15" t="n"/>
      <c r="D31" s="15" t="n"/>
      <c r="E31" s="15" t="n"/>
      <c r="F31" s="15" t="n"/>
      <c r="G31" s="16" t="n"/>
      <c r="H31" s="21" t="n"/>
      <c r="I31" s="21" t="n"/>
      <c r="J31" s="22">
        <f>J23-J30</f>
        <v/>
      </c>
      <c r="K31" s="21" t="inlineStr">
        <is>
          <t>正数表示优惠</t>
        </is>
      </c>
    </row>
    <row r="32" ht="26" customHeight="1">
      <c r="A32" s="20" t="inlineStr">
        <is>
          <t>优惠幅度（相对标准估价）</t>
        </is>
      </c>
      <c r="B32" s="15" t="n"/>
      <c r="C32" s="15" t="n"/>
      <c r="D32" s="15" t="n"/>
      <c r="E32" s="15" t="n"/>
      <c r="F32" s="15" t="n"/>
      <c r="G32" s="16" t="n"/>
      <c r="H32" s="21" t="n"/>
      <c r="I32" s="21" t="n"/>
      <c r="J32" s="23">
        <f>IF(J23=0,0,J31/J23)</f>
        <v/>
      </c>
      <c r="K32" s="21" t="inlineStr"/>
    </row>
    <row r="33"/>
    <row r="34" ht="110" customHeight="1">
      <c r="A34" s="24" t="inlineStr">
        <is>
          <t>【报价说明】
1. 上表「标准单价 / 标准金额」为各项能力按市场与实施成本拆分的估价，用于体现产品与服务价值。
2. 下方「优惠成交价」为本次对贵方的实际报价口径：基础软件 60,000 元/套（含缺省 3 个模板）、超出模板 2,500 元/个、培训 10,000 元/次。
3. 默认配置：软件 1 套 + 额外模板 0 个 + 培训 1 次 → 成交合计 70,000 元；标准估价合计约 13.25 万，优惠约 6.25 万（约 47%）。
4. 修改成交区「数量」即可；增购模板 / 培训对应的标准估价明细数量已自动联动。
5. 本报价有效期 30 日；最终以双方签署合同为准；含税另议。</t>
        </is>
      </c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6" t="n"/>
    </row>
    <row r="36" ht="36" customHeight="1">
      <c r="A36" s="25" t="inlineStr">
        <is>
          <t>供方（盖章）：____________________</t>
        </is>
      </c>
      <c r="F36" s="25" t="inlineStr">
        <is>
          <t>需方（盖章）：____________________</t>
        </is>
      </c>
    </row>
    <row r="37">
      <c r="A37" s="25" t="inlineStr">
        <is>
          <t>日期：________年____月____日</t>
        </is>
      </c>
      <c r="F37" s="25" t="inlineStr">
        <is>
          <t>日期：________年____月____日</t>
        </is>
      </c>
    </row>
  </sheetData>
  <mergeCells count="20">
    <mergeCell ref="A32:G32"/>
    <mergeCell ref="A34:K34"/>
    <mergeCell ref="F36:K36"/>
    <mergeCell ref="G2:K2"/>
    <mergeCell ref="B4:B15"/>
    <mergeCell ref="A36:E36"/>
    <mergeCell ref="A1:K1"/>
    <mergeCell ref="A2:F2"/>
    <mergeCell ref="B26:E26"/>
    <mergeCell ref="A31:G31"/>
    <mergeCell ref="A25:K25"/>
    <mergeCell ref="A30:G30"/>
    <mergeCell ref="A37:E37"/>
    <mergeCell ref="B16:B18"/>
    <mergeCell ref="F37:K37"/>
    <mergeCell ref="B27:E27"/>
    <mergeCell ref="B29:E29"/>
    <mergeCell ref="B19:B21"/>
    <mergeCell ref="B28:E28"/>
    <mergeCell ref="A23:G2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2026-07-23T03:47:08Z</dcterms:created>
  <dcterms:modified xmlns:dcterms="http://purl.org/dc/terms/" xmlns:xsi="http://www.w3.org/2001/XMLSchema-instance" xsi:type="dcterms:W3CDTF">2026-07-23T03:47:16Z</dcterms:modified>
</cp:coreProperties>
</file>