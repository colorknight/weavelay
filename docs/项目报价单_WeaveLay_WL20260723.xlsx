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报价" sheetId="1" state="visible" r:id="rId1"/>
  </sheets>
  <definedNames>
    <definedName name="_xlnm.Print_Titles" localSheetId="0">'产品报价'!$1:$3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1"/>
    </font>
    <font>
      <name val="宋体"/>
      <b val="1"/>
      <sz val="10"/>
    </font>
    <font>
      <name val="宋体"/>
      <b val="1"/>
      <sz val="12"/>
    </font>
  </fonts>
  <fills count="8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D8D8D8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right" vertical="center" wrapText="1"/>
    </xf>
    <xf numFmtId="0" fontId="0" fillId="5" borderId="1" pivotButton="0" quotePrefix="0" xfId="0"/>
    <xf numFmtId="3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 wrapText="1"/>
    </xf>
    <xf numFmtId="0" fontId="0" fillId="6" borderId="1" pivotButton="0" quotePrefix="0" xfId="0"/>
    <xf numFmtId="3" fontId="5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5"/>
  <sheetViews>
    <sheetView workbookViewId="0">
      <selection activeCell="A1" sqref="A1"/>
    </sheetView>
  </sheetViews>
  <sheetFormatPr baseColWidth="8" defaultRowHeight="15"/>
  <cols>
    <col width="5.5" customWidth="1" min="1" max="1"/>
    <col width="12" customWidth="1" min="2" max="2"/>
    <col width="14" customWidth="1" min="3" max="3"/>
    <col width="16" customWidth="1" min="4" max="4"/>
    <col width="18" customWidth="1" min="5" max="5"/>
    <col width="58" customWidth="1" min="6" max="6"/>
    <col width="7" customWidth="1" min="7" max="7"/>
    <col width="7" customWidth="1" min="8" max="8"/>
    <col width="11" customWidth="1" min="9" max="9"/>
    <col width="11" customWidth="1" min="10" max="10"/>
    <col width="18" customWidth="1" min="11" max="11"/>
  </cols>
  <sheetData>
    <row r="1" ht="32" customHeight="1">
      <c r="A1" s="1" t="inlineStr">
        <is>
          <t>织版（WeaveLay）工业规程文档 OCR 提取软件 — 产品报价单</t>
        </is>
      </c>
    </row>
    <row r="2" ht="22" customHeight="1">
      <c r="A2" s="2" t="inlineStr">
        <is>
          <t>报价编号：WL20260723　　报价日期：2026年07月23日　　币种：人民币（元）</t>
        </is>
      </c>
      <c r="G2" s="3" t="inlineStr">
        <is>
          <t>产品：织版 WeaveLay 桌面版（Windows 便携单机）</t>
        </is>
      </c>
    </row>
    <row r="3" ht="28" customHeight="1">
      <c r="A3" s="4" t="inlineStr">
        <is>
          <t>序号</t>
        </is>
      </c>
      <c r="B3" s="4" t="inlineStr">
        <is>
          <t>类型</t>
        </is>
      </c>
      <c r="C3" s="4" t="inlineStr">
        <is>
          <t>业务板块</t>
        </is>
      </c>
      <c r="D3" s="4" t="inlineStr">
        <is>
          <t>模块</t>
        </is>
      </c>
      <c r="E3" s="4" t="inlineStr">
        <is>
          <t>功能</t>
        </is>
      </c>
      <c r="F3" s="4" t="inlineStr">
        <is>
          <t>详细内容</t>
        </is>
      </c>
      <c r="G3" s="4" t="inlineStr">
        <is>
          <t>单位</t>
        </is>
      </c>
      <c r="H3" s="4" t="inlineStr">
        <is>
          <t>数量</t>
        </is>
      </c>
      <c r="I3" s="4" t="inlineStr">
        <is>
          <t>单价（元）</t>
        </is>
      </c>
      <c r="J3" s="4" t="inlineStr">
        <is>
          <t>金额（元）</t>
        </is>
      </c>
      <c r="K3" s="4" t="inlineStr">
        <is>
          <t>备注</t>
        </is>
      </c>
    </row>
    <row r="4" ht="42" customHeight="1">
      <c r="A4" s="5" t="n">
        <v>1</v>
      </c>
      <c r="B4" s="5" t="inlineStr">
        <is>
          <t>基础软件</t>
        </is>
      </c>
      <c r="C4" s="5" t="inlineStr">
        <is>
          <t>软件交付</t>
        </is>
      </c>
      <c r="D4" s="5" t="inlineStr">
        <is>
          <t>桌面客户端</t>
        </is>
      </c>
      <c r="E4" s="5" t="inlineStr">
        <is>
          <t>便携版安装包</t>
        </is>
      </c>
      <c r="F4" s="6" t="inlineStr">
        <is>
          <t>交付 Windows 便携包（约 600MB+）：精简 JRE + JavaFX + 应用本体 + 依赖库；解压后双击 WeaveLay.bat 即可启动，客户侧无需单独安装 JDK。</t>
        </is>
      </c>
      <c r="G4" s="5" t="inlineStr">
        <is>
          <t>套</t>
        </is>
      </c>
      <c r="H4" s="7" t="n">
        <v>1</v>
      </c>
      <c r="I4" s="7" t="n">
        <v>0</v>
      </c>
      <c r="J4" s="7" t="n">
        <v>0</v>
      </c>
      <c r="K4" s="6" t="inlineStr">
        <is>
          <t>含于基础软件</t>
        </is>
      </c>
    </row>
    <row r="5" ht="36" customHeight="1">
      <c r="A5" s="5" t="n">
        <v>2</v>
      </c>
      <c r="B5" s="8" t="n"/>
      <c r="C5" s="5" t="inlineStr">
        <is>
          <t>软件交付</t>
        </is>
      </c>
      <c r="D5" s="5" t="inlineStr">
        <is>
          <t>桌面客户端</t>
        </is>
      </c>
      <c r="E5" s="5" t="inlineStr">
        <is>
          <t>本地运行环境</t>
        </is>
      </c>
      <c r="F5" s="6" t="inlineStr">
        <is>
          <t>数据目录默认 %LOCALAPPDATA%\WeaveLay（可用 WEAVELAY_HOME 指定）；支持 WEAVELAY_TMP 将临时目录指向非系统盘；建议堆内存 512MB–3GB。</t>
        </is>
      </c>
      <c r="G5" s="5" t="inlineStr">
        <is>
          <t>项</t>
        </is>
      </c>
      <c r="H5" s="7" t="n">
        <v>1</v>
      </c>
      <c r="I5" s="7" t="n">
        <v>0</v>
      </c>
      <c r="J5" s="7" t="n">
        <v>0</v>
      </c>
      <c r="K5" s="6" t="inlineStr">
        <is>
          <t>含于基础软件</t>
        </is>
      </c>
    </row>
    <row r="6" ht="36" customHeight="1">
      <c r="A6" s="5" t="n">
        <v>3</v>
      </c>
      <c r="B6" s="8" t="n"/>
      <c r="C6" s="5" t="inlineStr">
        <is>
          <t>文档处理</t>
        </is>
      </c>
      <c r="D6" s="5" t="inlineStr">
        <is>
          <t>PDF 输入</t>
        </is>
      </c>
      <c r="E6" s="5" t="inlineStr">
        <is>
          <t>文件夹批量处理</t>
        </is>
      </c>
      <c r="F6" s="6" t="inlineStr">
        <is>
          <t>支持选择文件夹批量处理目录内全部 PDF；支持上一文件/下一文件切换；断点记忆上次文件夹、工作模式、OCR 参数、导出目录等偏好。</t>
        </is>
      </c>
      <c r="G6" s="5" t="inlineStr">
        <is>
          <t>项</t>
        </is>
      </c>
      <c r="H6" s="7" t="n">
        <v>1</v>
      </c>
      <c r="I6" s="7" t="n">
        <v>0</v>
      </c>
      <c r="J6" s="7" t="n">
        <v>0</v>
      </c>
      <c r="K6" s="6" t="inlineStr">
        <is>
          <t>含于基础软件</t>
        </is>
      </c>
    </row>
    <row r="7" ht="36" customHeight="1">
      <c r="A7" s="5" t="n">
        <v>4</v>
      </c>
      <c r="B7" s="8" t="n"/>
      <c r="C7" s="5" t="inlineStr">
        <is>
          <t>文档处理</t>
        </is>
      </c>
      <c r="D7" s="5" t="inlineStr">
        <is>
          <t>PDF 渲染</t>
        </is>
      </c>
      <c r="E7" s="5" t="inlineStr">
        <is>
          <t>300DPI 逐页渲染</t>
        </is>
      </c>
      <c r="F7" s="6" t="inlineStr">
        <is>
          <t>PDFBox 全页转 PNG，300 DPI 保留页序；首屏 OCR 完成即显示，不必等待全书结束；支持 OCR 任务取消与 ←/→ 翻页。</t>
        </is>
      </c>
      <c r="G7" s="5" t="inlineStr">
        <is>
          <t>项</t>
        </is>
      </c>
      <c r="H7" s="7" t="n">
        <v>1</v>
      </c>
      <c r="I7" s="7" t="n">
        <v>0</v>
      </c>
      <c r="J7" s="7" t="n">
        <v>0</v>
      </c>
      <c r="K7" s="6" t="inlineStr">
        <is>
          <t>含于基础软件</t>
        </is>
      </c>
    </row>
    <row r="8" ht="42" customHeight="1">
      <c r="A8" s="5" t="n">
        <v>5</v>
      </c>
      <c r="B8" s="8" t="n"/>
      <c r="C8" s="5" t="inlineStr">
        <is>
          <t>人机交互</t>
        </is>
      </c>
      <c r="D8" s="5" t="inlineStr">
        <is>
          <t>对照预览</t>
        </is>
      </c>
      <c r="E8" s="5" t="inlineStr">
        <is>
          <t>原图 / OCR 双栏</t>
        </is>
      </c>
      <c r="F8" s="6" t="inlineStr">
        <is>
          <t>左右对照：PDF 原图 + OCR 检测框叠加；红框=文字行，蓝虚线=表格单元格区域；页内诊断面板展示排序行号（#1 #2…）、结构化输出树，字段点击高亮定位。</t>
        </is>
      </c>
      <c r="G8" s="5" t="inlineStr">
        <is>
          <t>项</t>
        </is>
      </c>
      <c r="H8" s="7" t="n">
        <v>1</v>
      </c>
      <c r="I8" s="7" t="n">
        <v>0</v>
      </c>
      <c r="J8" s="7" t="n">
        <v>0</v>
      </c>
      <c r="K8" s="6" t="inlineStr">
        <is>
          <t>含于基础软件</t>
        </is>
      </c>
    </row>
    <row r="9" ht="36" customHeight="1">
      <c r="A9" s="5" t="n">
        <v>6</v>
      </c>
      <c r="B9" s="8" t="n"/>
      <c r="C9" s="5" t="inlineStr">
        <is>
          <t>人机交互</t>
        </is>
      </c>
      <c r="D9" s="5" t="inlineStr">
        <is>
          <t>工作模式</t>
        </is>
      </c>
      <c r="E9" s="5" t="inlineStr">
        <is>
          <t>模板模式 / 应用模式</t>
        </is>
      </c>
      <c r="F9" s="6" t="inlineStr">
        <is>
          <t>模板模式：圈框定规则、保存坐标与页型配置；应用模式：按已存规则区域 OCR 填字段、校对、确认 JSON、写出 Excel。</t>
        </is>
      </c>
      <c r="G9" s="5" t="inlineStr">
        <is>
          <t>项</t>
        </is>
      </c>
      <c r="H9" s="7" t="n">
        <v>1</v>
      </c>
      <c r="I9" s="7" t="n">
        <v>0</v>
      </c>
      <c r="J9" s="7" t="n">
        <v>0</v>
      </c>
      <c r="K9" s="6" t="inlineStr">
        <is>
          <t>含于基础软件</t>
        </is>
      </c>
    </row>
    <row r="10" ht="36" customHeight="1">
      <c r="A10" s="5" t="n">
        <v>7</v>
      </c>
      <c r="B10" s="8" t="n"/>
      <c r="C10" s="5" t="inlineStr">
        <is>
          <t>人机交互</t>
        </is>
      </c>
      <c r="D10" s="5" t="inlineStr">
        <is>
          <t>校对工具</t>
        </is>
      </c>
      <c r="E10" s="5" t="inlineStr">
        <is>
          <t>工业符号键盘 / 表格校对</t>
        </is>
      </c>
      <c r="F10" s="6" t="inlineStr">
        <is>
          <t>F4 工业符号键盘（⌀、±、°、上下标等）人工修正 OCR/公式结果；应用模式下 PDF 绿格可点选，弹窗编辑 Markdown 表格内容。</t>
        </is>
      </c>
      <c r="G10" s="5" t="inlineStr">
        <is>
          <t>项</t>
        </is>
      </c>
      <c r="H10" s="7" t="n">
        <v>1</v>
      </c>
      <c r="I10" s="7" t="n">
        <v>0</v>
      </c>
      <c r="J10" s="7" t="n">
        <v>0</v>
      </c>
      <c r="K10" s="6" t="inlineStr">
        <is>
          <t>含于基础软件</t>
        </is>
      </c>
    </row>
    <row r="11" ht="42" customHeight="1">
      <c r="A11" s="5" t="n">
        <v>8</v>
      </c>
      <c r="B11" s="8" t="n"/>
      <c r="C11" s="5" t="inlineStr">
        <is>
          <t>OCR 引擎</t>
        </is>
      </c>
      <c r="D11" s="5" t="inlineStr">
        <is>
          <t>文字识别</t>
        </is>
      </c>
      <c r="E11" s="5" t="inlineStr">
        <is>
          <t>PP-OCRv6 本地推理</t>
        </is>
      </c>
      <c r="F11" s="6" t="inlineStr">
        <is>
          <t>PP-OCRv6 ONNX（RapidOCR 进程内），字/词级 bbox；可调 maxSideLen、检测阈值、框扩张、白边、后处理过滤、并行 Worker（默认 2，建议 2–4）。</t>
        </is>
      </c>
      <c r="G11" s="5" t="inlineStr">
        <is>
          <t>项</t>
        </is>
      </c>
      <c r="H11" s="7" t="n">
        <v>1</v>
      </c>
      <c r="I11" s="7" t="n">
        <v>0</v>
      </c>
      <c r="J11" s="7" t="n">
        <v>0</v>
      </c>
      <c r="K11" s="6" t="inlineStr">
        <is>
          <t>含于基础软件</t>
        </is>
      </c>
    </row>
    <row r="12" ht="36" customHeight="1">
      <c r="A12" s="5" t="n">
        <v>9</v>
      </c>
      <c r="B12" s="8" t="n"/>
      <c r="C12" s="5" t="inlineStr">
        <is>
          <t>OCR 引擎</t>
        </is>
      </c>
      <c r="D12" s="5" t="inlineStr">
        <is>
          <t>织版合并</t>
        </is>
      </c>
      <c r="E12" s="5" t="inlineStr">
        <is>
          <t>散碎片段→阅读行</t>
        </is>
      </c>
      <c r="F12" s="6" t="inlineStr">
        <is>
          <t>按 Y/X 阈值将 OCR 散碎片段合并为阅读顺序行（WeaveRow），供页型分类与字段绑定；每页型可独立配置合并阈值、分隔符、行/列容差。</t>
        </is>
      </c>
      <c r="G12" s="5" t="inlineStr">
        <is>
          <t>项</t>
        </is>
      </c>
      <c r="H12" s="7" t="n">
        <v>1</v>
      </c>
      <c r="I12" s="7" t="n">
        <v>0</v>
      </c>
      <c r="J12" s="7" t="n">
        <v>0</v>
      </c>
      <c r="K12" s="6" t="inlineStr">
        <is>
          <t>含于基础软件</t>
        </is>
      </c>
    </row>
    <row r="13" ht="48" customHeight="1">
      <c r="A13" s="5" t="n">
        <v>10</v>
      </c>
      <c r="B13" s="8" t="n"/>
      <c r="C13" s="5" t="inlineStr">
        <is>
          <t>OCR 引擎</t>
        </is>
      </c>
      <c r="D13" s="5" t="inlineStr">
        <is>
          <t>公式识别</t>
        </is>
      </c>
      <c r="E13" s="5" t="inlineStr">
        <is>
          <t>版式检测 + FormulaNet</t>
        </is>
      </c>
      <c r="F13" s="6" t="inlineStr">
        <is>
          <t>PP-DocLayoutV3 本地检测 display/inline 公式区；PP-FormulaNet ONNX 输出 LaTeX，与 OCR 文字按阅读顺序混排；字段/列名前加 $ 启用公式识别；写出 Excel 前 LaTeX→可读 Unicode。</t>
        </is>
      </c>
      <c r="G13" s="5" t="inlineStr">
        <is>
          <t>项</t>
        </is>
      </c>
      <c r="H13" s="7" t="n">
        <v>1</v>
      </c>
      <c r="I13" s="7" t="n">
        <v>0</v>
      </c>
      <c r="J13" s="7" t="n">
        <v>0</v>
      </c>
      <c r="K13" s="6" t="inlineStr">
        <is>
          <t>含于基础软件</t>
        </is>
      </c>
    </row>
    <row r="14" ht="54" customHeight="1">
      <c r="A14" s="5" t="n">
        <v>11</v>
      </c>
      <c r="B14" s="8" t="n"/>
      <c r="C14" s="5" t="inlineStr">
        <is>
          <t>OCR 引擎</t>
        </is>
      </c>
      <c r="D14" s="5" t="inlineStr">
        <is>
          <t>表格识别</t>
        </is>
      </c>
      <c r="E14" s="5" t="inlineStr">
        <is>
          <t>线切割 + 列对齐</t>
        </is>
      </c>
      <c r="F14" s="6" t="inlineStr">
        <is>
          <t>OpenCV 形态学检测横竖线→物理单元格网格；线不足时回退纯文字列对齐；工序目录支持列头几何定位与数据带取值；空单元格保留「—」占位并在预览标注；表区左缘窄条补 OCR，抓取易漏工序号。</t>
        </is>
      </c>
      <c r="G14" s="5" t="inlineStr">
        <is>
          <t>项</t>
        </is>
      </c>
      <c r="H14" s="7" t="n">
        <v>1</v>
      </c>
      <c r="I14" s="7" t="n">
        <v>0</v>
      </c>
      <c r="J14" s="7" t="n">
        <v>0</v>
      </c>
      <c r="K14" s="6" t="inlineStr">
        <is>
          <t>含于基础软件</t>
        </is>
      </c>
    </row>
    <row r="15" ht="36" customHeight="1">
      <c r="A15" s="5" t="n">
        <v>12</v>
      </c>
      <c r="B15" s="8" t="n"/>
      <c r="C15" s="5" t="inlineStr">
        <is>
          <t>模板体系</t>
        </is>
      </c>
      <c r="D15" s="5" t="inlineStr">
        <is>
          <t>文件类型</t>
        </is>
      </c>
      <c r="E15" s="5" t="inlineStr">
        <is>
          <t>DocumentFamily 容器</t>
        </is>
      </c>
      <c r="F15" s="6" t="inlineStr">
        <is>
          <t>按业务类别管理 PDF 模板（如「工艺规程」）；支持新增/删除/切换文件类型；每套文件类型独立绑定页型规则、输出定义与 Excel 模板。</t>
        </is>
      </c>
      <c r="G15" s="5" t="inlineStr">
        <is>
          <t>项</t>
        </is>
      </c>
      <c r="H15" s="7" t="n">
        <v>1</v>
      </c>
      <c r="I15" s="7" t="n">
        <v>0</v>
      </c>
      <c r="J15" s="7" t="n">
        <v>0</v>
      </c>
      <c r="K15" s="6" t="inlineStr">
        <is>
          <t>含于基础软件</t>
        </is>
      </c>
    </row>
    <row r="16" ht="48" customHeight="1">
      <c r="A16" s="5" t="n">
        <v>13</v>
      </c>
      <c r="B16" s="8" t="n"/>
      <c r="C16" s="5" t="inlineStr">
        <is>
          <t>模板体系</t>
        </is>
      </c>
      <c r="D16" s="5" t="inlineStr">
        <is>
          <t>页面类型</t>
        </is>
      </c>
      <c r="E16" s="5" t="inlineStr">
        <is>
          <t>七类页型骨架</t>
        </is>
      </c>
      <c r="F16" s="6" t="inlineStr">
        <is>
          <t>内置可扩展页型：封面、工序目录、工艺附图（工序图）、机械加工工序卡片、检验卡片、辅助工序卡片、未识别；手动改页型（下拉 / F2）；Space 对当前页执行「应用」（按规则区域 OCR，非全页重跑）。</t>
        </is>
      </c>
      <c r="G16" s="5" t="inlineStr">
        <is>
          <t>项</t>
        </is>
      </c>
      <c r="H16" s="7" t="n">
        <v>1</v>
      </c>
      <c r="I16" s="7" t="n">
        <v>0</v>
      </c>
      <c r="J16" s="7" t="n">
        <v>0</v>
      </c>
      <c r="K16" s="6" t="inlineStr">
        <is>
          <t>含于基础软件</t>
        </is>
      </c>
    </row>
    <row r="17" ht="48" customHeight="1">
      <c r="A17" s="5" t="n">
        <v>14</v>
      </c>
      <c r="B17" s="8" t="n"/>
      <c r="C17" s="5" t="inlineStr">
        <is>
          <t>模板体系</t>
        </is>
      </c>
      <c r="D17" s="5" t="inlineStr">
        <is>
          <t>页型分类</t>
        </is>
      </c>
      <c r="E17" s="5" t="inlineStr">
        <is>
          <t>四类锚点规则</t>
        </is>
      </c>
      <c r="F17" s="6" t="inlineStr">
        <is>
          <t>多锚点 AND 匹配，按优先级取首个命中：
#N — 排序后第 N 行等于页型名；~文本 — 排序行包含；&amp;文本 — OCR 原始行包含；@N — 页码（@1 首页，@-1 末页）。</t>
        </is>
      </c>
      <c r="G17" s="5" t="inlineStr">
        <is>
          <t>项</t>
        </is>
      </c>
      <c r="H17" s="7" t="n">
        <v>1</v>
      </c>
      <c r="I17" s="7" t="n">
        <v>0</v>
      </c>
      <c r="J17" s="7" t="n">
        <v>0</v>
      </c>
      <c r="K17" s="6" t="inlineStr">
        <is>
          <t>含于基础软件</t>
        </is>
      </c>
    </row>
    <row r="18" ht="48" customHeight="1">
      <c r="A18" s="5" t="n">
        <v>15</v>
      </c>
      <c r="B18" s="8" t="n"/>
      <c r="C18" s="5" t="inlineStr">
        <is>
          <t>模板体系</t>
        </is>
      </c>
      <c r="D18" s="5" t="inlineStr">
        <is>
          <t>字段绑定</t>
        </is>
      </c>
      <c r="E18" s="5" t="inlineStr">
        <is>
          <t>可视化圈框 / 槽位</t>
        </is>
      </c>
      <c r="F18" s="6" t="inlineStr">
        <is>
          <t>PDF 上框选区域绑定输出字段/表格列；支持普通文本、表格（*表名:列1,列2）、行引用（字段=#N）、K/V 配对、行号范围、Shift+多选行；每页型可配 PairMode（水平/垂直/无）合并配对规则。</t>
        </is>
      </c>
      <c r="G18" s="5" t="inlineStr">
        <is>
          <t>项</t>
        </is>
      </c>
      <c r="H18" s="7" t="n">
        <v>1</v>
      </c>
      <c r="I18" s="7" t="n">
        <v>0</v>
      </c>
      <c r="J18" s="7" t="n">
        <v>0</v>
      </c>
      <c r="K18" s="6" t="inlineStr">
        <is>
          <t>含于基础软件</t>
        </is>
      </c>
    </row>
    <row r="19" ht="42" customHeight="1">
      <c r="A19" s="5" t="n">
        <v>16</v>
      </c>
      <c r="B19" s="8" t="n"/>
      <c r="C19" s="5" t="inlineStr">
        <is>
          <t>模板体系</t>
        </is>
      </c>
      <c r="D19" s="5" t="inlineStr">
        <is>
          <t>工序目录表</t>
        </is>
      </c>
      <c r="E19" s="5" t="inlineStr">
        <is>
          <t>预置表列能力</t>
        </is>
      </c>
      <c r="F19" s="6" t="inlineStr">
        <is>
          <t>工序目录支持表列提取，典型列：供应状态、毛坯种类、毛坯尺寸、毛坯重量kg、每一毛坯可制零件数、零件重量kg、每套产品零件数、工序号、工序名称等。</t>
        </is>
      </c>
      <c r="G19" s="5" t="inlineStr">
        <is>
          <t>项</t>
        </is>
      </c>
      <c r="H19" s="7" t="n">
        <v>1</v>
      </c>
      <c r="I19" s="7" t="n">
        <v>0</v>
      </c>
      <c r="J19" s="7" t="n">
        <v>0</v>
      </c>
      <c r="K19" s="6" t="inlineStr">
        <is>
          <t>含于基础软件</t>
        </is>
      </c>
    </row>
    <row r="20" ht="54" customHeight="1">
      <c r="A20" s="5" t="n">
        <v>17</v>
      </c>
      <c r="B20" s="8" t="n"/>
      <c r="C20" s="5" t="inlineStr">
        <is>
          <t>结构化输出</t>
        </is>
      </c>
      <c r="D20" s="5" t="inlineStr">
        <is>
          <t>输出定义</t>
        </is>
      </c>
      <c r="E20" s="5" t="inlineStr">
        <is>
          <t>JSON Schema 文档树</t>
        </is>
      </c>
      <c r="F20" s="6" t="inlineStr">
        <is>
          <t>文件类型级输出定义 JSON（编辑器 + Schema 补全）：根实体、标量字段、集合 工序[]、条目卡片（如机加工序）；pageWrites 将封面/目录/工序卡写入对应节点；route[] 正则分流目录行；link[] 跨页回填关联。</t>
        </is>
      </c>
      <c r="G20" s="5" t="inlineStr">
        <is>
          <t>项</t>
        </is>
      </c>
      <c r="H20" s="7" t="n">
        <v>1</v>
      </c>
      <c r="I20" s="7" t="n">
        <v>0</v>
      </c>
      <c r="J20" s="7" t="n">
        <v>0</v>
      </c>
      <c r="K20" s="6" t="inlineStr">
        <is>
          <t>含于基础软件</t>
        </is>
      </c>
    </row>
    <row r="21" ht="54" customHeight="1">
      <c r="A21" s="5" t="n">
        <v>18</v>
      </c>
      <c r="B21" s="8" t="n"/>
      <c r="C21" s="5" t="inlineStr">
        <is>
          <t>结构化输出</t>
        </is>
      </c>
      <c r="D21" s="5" t="inlineStr">
        <is>
          <t>Excel 写出</t>
        </is>
      </c>
      <c r="E21" s="5" t="inlineStr">
        <is>
          <t>模板占位符填充</t>
        </is>
      </c>
      <c r="F21" s="6" t="inlineStr">
        <is>
          <t>绑定客户自有 .xlsx：占位符 {{产品代号}}、{{工序目录表}}、{{+工序目录表,工序号,工序名称}} 等；目录表展开；route 跳转 Sheet；同类工序合并写入同一 Sheet；支持超链接跳转工序详情；无模板时 fallback 按页生成 Sheet。</t>
        </is>
      </c>
      <c r="G21" s="5" t="inlineStr">
        <is>
          <t>项</t>
        </is>
      </c>
      <c r="H21" s="7" t="n">
        <v>1</v>
      </c>
      <c r="I21" s="7" t="n">
        <v>0</v>
      </c>
      <c r="J21" s="7" t="n">
        <v>0</v>
      </c>
      <c r="K21" s="6" t="inlineStr">
        <is>
          <t>含于基础软件</t>
        </is>
      </c>
    </row>
    <row r="22" ht="42" customHeight="1">
      <c r="A22" s="5" t="n">
        <v>19</v>
      </c>
      <c r="B22" s="8" t="n"/>
      <c r="C22" s="5" t="inlineStr">
        <is>
          <t>结构化输出</t>
        </is>
      </c>
      <c r="D22" s="5" t="inlineStr">
        <is>
          <t>应用流程</t>
        </is>
      </c>
      <c r="E22" s="5" t="inlineStr">
        <is>
          <t>确认 JSON → 写出</t>
        </is>
      </c>
      <c r="F22" s="6" t="inlineStr">
        <is>
          <t>生产链路：选文件夹 → OCR+页型分类 → 应用提取 → 绿格校对 → 确认写入累计 JSON → 写出 {文件类型}-{PDF名}.xlsx；提供当前 JSON 查看器（查看/复制）。</t>
        </is>
      </c>
      <c r="G22" s="5" t="inlineStr">
        <is>
          <t>项</t>
        </is>
      </c>
      <c r="H22" s="7" t="n">
        <v>1</v>
      </c>
      <c r="I22" s="7" t="n">
        <v>0</v>
      </c>
      <c r="J22" s="7" t="n">
        <v>0</v>
      </c>
      <c r="K22" s="6" t="inlineStr">
        <is>
          <t>含于基础软件</t>
        </is>
      </c>
    </row>
    <row r="23" ht="54" customHeight="1">
      <c r="A23" s="5" t="n">
        <v>20</v>
      </c>
      <c r="B23" s="8" t="n"/>
      <c r="C23" s="5" t="inlineStr">
        <is>
          <t>授权管理</t>
        </is>
      </c>
      <c r="D23" s="5" t="inlineStr">
        <is>
          <t>Licence</t>
        </is>
      </c>
      <c r="E23" s="5" t="inlineStr">
        <is>
          <t>按机离线授权</t>
        </is>
      </c>
      <c r="F23" s="6" t="inlineStr">
        <is>
          <t>Ed25519 签名 .weavelaylic，绑定机器指纹（设置→Licence 复制→厂商离线签发→导入）；支持永久或按天到期；功能开关：confirm（确认 JSON）、excel_export（写出 Excel）、template_pack（模板包导入导出）；便携包不含签发私钥。</t>
        </is>
      </c>
      <c r="G23" s="5" t="inlineStr">
        <is>
          <t>项</t>
        </is>
      </c>
      <c r="H23" s="7" t="n">
        <v>1</v>
      </c>
      <c r="I23" s="7" t="n">
        <v>0</v>
      </c>
      <c r="J23" s="7" t="n">
        <v>0</v>
      </c>
      <c r="K23" s="6" t="inlineStr">
        <is>
          <t>含于基础软件</t>
        </is>
      </c>
    </row>
    <row r="24" ht="42" customHeight="1">
      <c r="A24" s="5" t="n">
        <v>21</v>
      </c>
      <c r="B24" s="8" t="n"/>
      <c r="C24" s="5" t="inlineStr">
        <is>
          <t>模板交付</t>
        </is>
      </c>
      <c r="D24" s="5" t="inlineStr">
        <is>
          <t>缺省模板</t>
        </is>
      </c>
      <c r="E24" s="5" t="inlineStr">
        <is>
          <t>含 3 个文档模板</t>
        </is>
      </c>
      <c r="F24" s="6" t="inlineStr">
        <is>
          <t>基础软件缺省包含 3 个文档模板（文件类型）的规则与输出定义初配额度；出厂预置「工艺规程」骨架（含上述七种页型），另 2 套按客户首批版式完成适配交付。</t>
        </is>
      </c>
      <c r="G24" s="5" t="inlineStr">
        <is>
          <t>个</t>
        </is>
      </c>
      <c r="H24" s="7" t="n">
        <v>3</v>
      </c>
      <c r="I24" s="7" t="n">
        <v>0</v>
      </c>
      <c r="J24" s="7" t="n">
        <v>0</v>
      </c>
      <c r="K24" s="6" t="inlineStr">
        <is>
          <t>软件标配，不另计费</t>
        </is>
      </c>
    </row>
    <row r="25" ht="48" customHeight="1">
      <c r="A25" s="9" t="n">
        <v>22</v>
      </c>
      <c r="B25" s="10" t="n"/>
      <c r="C25" s="9" t="inlineStr">
        <is>
          <t>软件许可</t>
        </is>
      </c>
      <c r="D25" s="9" t="inlineStr">
        <is>
          <t>产品许可费</t>
        </is>
      </c>
      <c r="E25" s="9" t="inlineStr">
        <is>
          <t>基础软件（桌面版）</t>
        </is>
      </c>
      <c r="F25" s="11" t="inlineStr">
        <is>
          <t>织版 WeaveLay 桌面版永久授权 1 套，含上述全部功能模块、便携交付包、缺省 3 个文档模板适配额度，以及设置中心（文件类型 / OCR / 导出 / Licence）。</t>
        </is>
      </c>
      <c r="G25" s="9" t="inlineStr">
        <is>
          <t>套</t>
        </is>
      </c>
      <c r="H25" s="12" t="n">
        <v>1</v>
      </c>
      <c r="I25" s="12" t="n">
        <v>60000</v>
      </c>
      <c r="J25" s="12">
        <f>H25*I25</f>
        <v/>
      </c>
      <c r="K25" s="11" t="inlineStr">
        <is>
          <t>永久授权 / 单机桌面版</t>
        </is>
      </c>
    </row>
    <row r="26" ht="42" customHeight="1">
      <c r="A26" s="5" t="n">
        <v>23</v>
      </c>
      <c r="B26" s="5" t="inlineStr">
        <is>
          <t>文档模板适配</t>
        </is>
      </c>
      <c r="C26" s="5" t="inlineStr">
        <is>
          <t>增购服务</t>
        </is>
      </c>
      <c r="D26" s="5" t="inlineStr">
        <is>
          <t>新文件类型</t>
        </is>
      </c>
      <c r="E26" s="5" t="inlineStr">
        <is>
          <t>页型与锚点配置</t>
        </is>
      </c>
      <c r="F26" s="6" t="inlineStr">
        <is>
          <t>针对客户新一类工艺/检验等规程 PDF：梳理页型清单，编写 #/~ /&amp; /@ 分类锚点，配置各页型合并阈值与 PairMode，保证自动分类准确率达标。</t>
        </is>
      </c>
      <c r="G26" s="5" t="inlineStr">
        <is>
          <t>项</t>
        </is>
      </c>
      <c r="H26" s="7" t="n">
        <v>1</v>
      </c>
      <c r="I26" s="7" t="n">
        <v>0</v>
      </c>
      <c r="J26" s="7" t="n">
        <v>0</v>
      </c>
      <c r="K26" s="6" t="inlineStr">
        <is>
          <t>含于模板适配</t>
        </is>
      </c>
    </row>
    <row r="27" ht="42" customHeight="1">
      <c r="A27" s="5" t="n">
        <v>24</v>
      </c>
      <c r="B27" s="8" t="n"/>
      <c r="C27" s="5" t="inlineStr">
        <is>
          <t>增购服务</t>
        </is>
      </c>
      <c r="D27" s="5" t="inlineStr">
        <is>
          <t>新文件类型</t>
        </is>
      </c>
      <c r="E27" s="5" t="inlineStr">
        <is>
          <t>圈框槽位与表列</t>
        </is>
      </c>
      <c r="F27" s="6" t="inlineStr">
        <is>
          <t>按样张完成封面/目录/工序卡等页的可视化圈框绑定；配置普通字段、表格列、行引用与公式列（$ 前缀）；工序目录表列头与数据带校准。</t>
        </is>
      </c>
      <c r="G27" s="5" t="inlineStr">
        <is>
          <t>项</t>
        </is>
      </c>
      <c r="H27" s="7" t="n">
        <v>1</v>
      </c>
      <c r="I27" s="7" t="n">
        <v>0</v>
      </c>
      <c r="J27" s="7" t="n">
        <v>0</v>
      </c>
      <c r="K27" s="6" t="inlineStr">
        <is>
          <t>含于模板适配</t>
        </is>
      </c>
    </row>
    <row r="28" ht="42" customHeight="1">
      <c r="A28" s="5" t="n">
        <v>25</v>
      </c>
      <c r="B28" s="8" t="n"/>
      <c r="C28" s="5" t="inlineStr">
        <is>
          <t>增购服务</t>
        </is>
      </c>
      <c r="D28" s="5" t="inlineStr">
        <is>
          <t>新文件类型</t>
        </is>
      </c>
      <c r="E28" s="5" t="inlineStr">
        <is>
          <t>输出定义 + Excel</t>
        </is>
      </c>
      <c r="F28" s="6" t="inlineStr">
        <is>
          <t>编写输出定义 JSON（零件/工序[]/卡片、pageWrites、route、link）；对接客户 Excel 模板占位符、目录展开与 Sheet 跳转；样张联调至可写出。</t>
        </is>
      </c>
      <c r="G28" s="5" t="inlineStr">
        <is>
          <t>项</t>
        </is>
      </c>
      <c r="H28" s="7" t="n">
        <v>1</v>
      </c>
      <c r="I28" s="7" t="n">
        <v>0</v>
      </c>
      <c r="J28" s="7" t="n">
        <v>0</v>
      </c>
      <c r="K28" s="6" t="inlineStr">
        <is>
          <t>含于模板适配</t>
        </is>
      </c>
    </row>
    <row r="29" ht="42" customHeight="1">
      <c r="A29" s="5" t="n">
        <v>26</v>
      </c>
      <c r="B29" s="8" t="n"/>
      <c r="C29" s="5" t="inlineStr">
        <is>
          <t>增购服务</t>
        </is>
      </c>
      <c r="D29" s="5" t="inlineStr">
        <is>
          <t>新文件类型</t>
        </is>
      </c>
      <c r="E29" s="5" t="inlineStr">
        <is>
          <t>模板包交付</t>
        </is>
      </c>
      <c r="F29" s="6" t="inlineStr">
        <is>
          <t>导出 .weavelaypack（manifest、输出定义、各页型 meta/anchors/rule/slots、可选 Excel 模板），支持客户多机导入；含一轮样张验收修订。</t>
        </is>
      </c>
      <c r="G29" s="5" t="inlineStr">
        <is>
          <t>项</t>
        </is>
      </c>
      <c r="H29" s="7" t="n">
        <v>1</v>
      </c>
      <c r="I29" s="7" t="n">
        <v>0</v>
      </c>
      <c r="J29" s="7" t="n">
        <v>0</v>
      </c>
      <c r="K29" s="6" t="inlineStr">
        <is>
          <t>含于模板适配</t>
        </is>
      </c>
    </row>
    <row r="30" ht="48" customHeight="1">
      <c r="A30" s="9" t="n">
        <v>27</v>
      </c>
      <c r="B30" s="10" t="n"/>
      <c r="C30" s="9" t="inlineStr">
        <is>
          <t>服务计价</t>
        </is>
      </c>
      <c r="D30" s="9" t="inlineStr">
        <is>
          <t>模板适配费</t>
        </is>
      </c>
      <c r="E30" s="9" t="inlineStr">
        <is>
          <t>超出缺省的模板</t>
        </is>
      </c>
      <c r="F30" s="11" t="inlineStr">
        <is>
          <t>超出基础软件缺省 3 个模板以外的每个新文档模板（完整文件类型适配），按 2,500 元/个计费。请修改本行「数量」为需增购的模板个数，金额自动计算。</t>
        </is>
      </c>
      <c r="G30" s="9" t="inlineStr">
        <is>
          <t>个</t>
        </is>
      </c>
      <c r="H30" s="12" t="n">
        <v>0</v>
      </c>
      <c r="I30" s="12" t="n">
        <v>2500</v>
      </c>
      <c r="J30" s="12">
        <f>H30*I30</f>
        <v/>
      </c>
      <c r="K30" s="11" t="inlineStr">
        <is>
          <t>缺省 3 个已含在软件中</t>
        </is>
      </c>
    </row>
    <row r="31" ht="30" customHeight="1">
      <c r="A31" s="5" t="n">
        <v>28</v>
      </c>
      <c r="B31" s="5" t="inlineStr">
        <is>
          <t>模板编写培训</t>
        </is>
      </c>
      <c r="C31" s="5" t="inlineStr">
        <is>
          <t>培训内容</t>
        </is>
      </c>
      <c r="D31" s="5" t="inlineStr">
        <is>
          <t>部署与授权</t>
        </is>
      </c>
      <c r="E31" s="5" t="inlineStr">
        <is>
          <t>安装与 Licence</t>
        </is>
      </c>
      <c r="F31" s="6" t="inlineStr">
        <is>
          <t>便携包解压部署、首次启动、机器指纹获取与 Licence 导入、数据目录与临时目录说明。</t>
        </is>
      </c>
      <c r="G31" s="5" t="inlineStr">
        <is>
          <t>项</t>
        </is>
      </c>
      <c r="H31" s="7" t="n">
        <v>1</v>
      </c>
      <c r="I31" s="7" t="n">
        <v>0</v>
      </c>
      <c r="J31" s="7" t="n">
        <v>0</v>
      </c>
      <c r="K31" s="6" t="inlineStr">
        <is>
          <t>含于培训服务</t>
        </is>
      </c>
    </row>
    <row r="32" ht="36" customHeight="1">
      <c r="A32" s="5" t="n">
        <v>29</v>
      </c>
      <c r="B32" s="8" t="n"/>
      <c r="C32" s="5" t="inlineStr">
        <is>
          <t>培训内容</t>
        </is>
      </c>
      <c r="D32" s="5" t="inlineStr">
        <is>
          <t>模板模式</t>
        </is>
      </c>
      <c r="E32" s="5" t="inlineStr">
        <is>
          <t>页型规则编写</t>
        </is>
      </c>
      <c r="F32" s="6" t="inlineStr">
        <is>
          <t>四类锚点语法实操、页型优先级、圈框绑定、保存规则到本地库；工序目录表列配置与公式列 $ 标记。</t>
        </is>
      </c>
      <c r="G32" s="5" t="inlineStr">
        <is>
          <t>项</t>
        </is>
      </c>
      <c r="H32" s="7" t="n">
        <v>1</v>
      </c>
      <c r="I32" s="7" t="n">
        <v>0</v>
      </c>
      <c r="J32" s="7" t="n">
        <v>0</v>
      </c>
      <c r="K32" s="6" t="inlineStr">
        <is>
          <t>含于培训服务</t>
        </is>
      </c>
    </row>
    <row r="33" ht="36" customHeight="1">
      <c r="A33" s="5" t="n">
        <v>30</v>
      </c>
      <c r="B33" s="8" t="n"/>
      <c r="C33" s="5" t="inlineStr">
        <is>
          <t>培训内容</t>
        </is>
      </c>
      <c r="D33" s="5" t="inlineStr">
        <is>
          <t>输出配置</t>
        </is>
      </c>
      <c r="E33" s="5" t="inlineStr">
        <is>
          <t>JSON 与 Excel 模板</t>
        </is>
      </c>
      <c r="F33" s="6" t="inlineStr">
        <is>
          <t>输出定义树（零件/工序[]/卡片）、pageWrites、route 正则、link 回填；Excel 占位符规范、目录展开与 Sheet 跳转规则。</t>
        </is>
      </c>
      <c r="G33" s="5" t="inlineStr">
        <is>
          <t>项</t>
        </is>
      </c>
      <c r="H33" s="7" t="n">
        <v>1</v>
      </c>
      <c r="I33" s="7" t="n">
        <v>0</v>
      </c>
      <c r="J33" s="7" t="n">
        <v>0</v>
      </c>
      <c r="K33" s="6" t="inlineStr">
        <is>
          <t>含于培训服务</t>
        </is>
      </c>
    </row>
    <row r="34" ht="36" customHeight="1">
      <c r="A34" s="5" t="n">
        <v>31</v>
      </c>
      <c r="B34" s="8" t="n"/>
      <c r="C34" s="5" t="inlineStr">
        <is>
          <t>培训内容</t>
        </is>
      </c>
      <c r="D34" s="5" t="inlineStr">
        <is>
          <t>应用模式</t>
        </is>
      </c>
      <c r="E34" s="5" t="inlineStr">
        <is>
          <t>生产全流程</t>
        </is>
      </c>
      <c r="F34" s="6" t="inlineStr">
        <is>
          <t>选文件夹 → 应用 → 绿格校对 → 确认 JSON → 写出 Excel；OCR 漏检/误检调参、并行度建议；F4 符号与公式结果人工校正。</t>
        </is>
      </c>
      <c r="G34" s="5" t="inlineStr">
        <is>
          <t>项</t>
        </is>
      </c>
      <c r="H34" s="7" t="n">
        <v>1</v>
      </c>
      <c r="I34" s="7" t="n">
        <v>0</v>
      </c>
      <c r="J34" s="7" t="n">
        <v>0</v>
      </c>
      <c r="K34" s="6" t="inlineStr">
        <is>
          <t>含于培训服务</t>
        </is>
      </c>
    </row>
    <row r="35" ht="30" customHeight="1">
      <c r="A35" s="5" t="n">
        <v>32</v>
      </c>
      <c r="B35" s="8" t="n"/>
      <c r="C35" s="5" t="inlineStr">
        <is>
          <t>培训内容</t>
        </is>
      </c>
      <c r="D35" s="5" t="inlineStr">
        <is>
          <t>运维迁移</t>
        </is>
      </c>
      <c r="E35" s="5" t="inlineStr">
        <is>
          <t>模板包与备份</t>
        </is>
      </c>
      <c r="F35" s="6" t="inlineStr">
        <is>
          <t>.weavelaypack 导出/导入、多机规则同步、SQLite 规则库与偏好备份路径说明。</t>
        </is>
      </c>
      <c r="G35" s="5" t="inlineStr">
        <is>
          <t>项</t>
        </is>
      </c>
      <c r="H35" s="7" t="n">
        <v>1</v>
      </c>
      <c r="I35" s="7" t="n">
        <v>0</v>
      </c>
      <c r="J35" s="7" t="n">
        <v>0</v>
      </c>
      <c r="K35" s="6" t="inlineStr">
        <is>
          <t>含于培训服务</t>
        </is>
      </c>
    </row>
    <row r="36" ht="42" customHeight="1">
      <c r="A36" s="9" t="n">
        <v>33</v>
      </c>
      <c r="B36" s="10" t="n"/>
      <c r="C36" s="9" t="inlineStr">
        <is>
          <t>服务计价</t>
        </is>
      </c>
      <c r="D36" s="9" t="inlineStr">
        <is>
          <t>培训费</t>
        </is>
      </c>
      <c r="E36" s="9" t="inlineStr">
        <is>
          <t>模板编写培训</t>
        </is>
      </c>
      <c r="F36" s="11" t="inlineStr">
        <is>
          <t>现场或远程培训 1 次（含上述全部课程模块与答疑）。请修改本行「数量」调整培训次数，金额自动计算。</t>
        </is>
      </c>
      <c r="G36" s="9" t="inlineStr">
        <is>
          <t>次</t>
        </is>
      </c>
      <c r="H36" s="12" t="n">
        <v>1</v>
      </c>
      <c r="I36" s="12" t="n">
        <v>10000</v>
      </c>
      <c r="J36" s="12">
        <f>H36*I36</f>
        <v/>
      </c>
      <c r="K36" s="11" t="inlineStr">
        <is>
          <t>建议采购，便于自主扩展</t>
        </is>
      </c>
    </row>
    <row r="37" ht="24" customHeight="1">
      <c r="A37" s="13" t="inlineStr">
        <is>
          <t>小计（软件 + 模板增购 + 培训）</t>
        </is>
      </c>
      <c r="B37" s="14" t="n"/>
      <c r="C37" s="14" t="n"/>
      <c r="D37" s="14" t="n"/>
      <c r="E37" s="14" t="n"/>
      <c r="F37" s="14" t="n"/>
      <c r="G37" s="14" t="n"/>
      <c r="H37" s="14" t="n"/>
      <c r="I37" s="14" t="n"/>
      <c r="J37" s="15">
        <f>J25+J30+J36</f>
        <v/>
      </c>
      <c r="K37" s="14" t="n"/>
    </row>
    <row r="38" ht="96" customHeight="1">
      <c r="A38" s="5" t="n">
        <v>34</v>
      </c>
      <c r="B38" s="16" t="inlineStr">
        <is>
          <t>售后服务</t>
        </is>
      </c>
      <c r="C38" s="17" t="inlineStr">
        <is>
          <t>提供 3 个月免费质保期（自验收合格之日起）。
质保范围：软件缺陷修复；OCR/织版/Excel 写出异常远程排查；许可与安装指导；轻微环境适配；缺省模板范围内的规则纠偏。
不属于免费质保：超出缺省/已购模板范围的新文件类型开发；新功能定制；甲方自行改规则/改代码导致的故障；操作系统或硬件重大变更；日常操作咨询（可有偿另计）。</t>
        </is>
      </c>
      <c r="D38" s="5" t="n"/>
      <c r="E38" s="5" t="n"/>
      <c r="F38" s="5" t="n"/>
      <c r="G38" s="5" t="inlineStr">
        <is>
          <t>项</t>
        </is>
      </c>
      <c r="H38" s="5" t="n">
        <v>1</v>
      </c>
      <c r="I38" s="7" t="n">
        <v>0</v>
      </c>
      <c r="J38" s="7">
        <f>H38*I38</f>
        <v/>
      </c>
      <c r="K38" s="6" t="inlineStr">
        <is>
          <t>随基础软件赠送</t>
        </is>
      </c>
    </row>
    <row r="39">
      <c r="A39" s="13" t="inlineStr">
        <is>
          <t>小计</t>
        </is>
      </c>
      <c r="B39" s="14" t="n"/>
      <c r="C39" s="14" t="n"/>
      <c r="D39" s="14" t="n"/>
      <c r="E39" s="14" t="n"/>
      <c r="F39" s="14" t="n"/>
      <c r="G39" s="14" t="n"/>
      <c r="H39" s="14" t="n"/>
      <c r="I39" s="14" t="n"/>
      <c r="J39" s="15">
        <f>J38</f>
        <v/>
      </c>
      <c r="K39" s="14" t="n"/>
    </row>
    <row r="40" ht="28" customHeight="1">
      <c r="A40" s="18" t="inlineStr">
        <is>
          <t>总计（人民币）</t>
        </is>
      </c>
      <c r="B40" s="19" t="n"/>
      <c r="C40" s="19" t="n"/>
      <c r="D40" s="19" t="n"/>
      <c r="E40" s="19" t="n"/>
      <c r="F40" s="19" t="n"/>
      <c r="G40" s="19" t="n"/>
      <c r="H40" s="19" t="n"/>
      <c r="I40" s="19" t="n"/>
      <c r="J40" s="20">
        <f>J37+J39</f>
        <v/>
      </c>
      <c r="K40" s="21" t="inlineStr">
        <is>
          <t>含税另议 / 以合同为准</t>
        </is>
      </c>
    </row>
    <row r="42" ht="110" customHeight="1">
      <c r="A42" s="22" t="inlineStr">
        <is>
          <t>【报价与配置说明】
1. 基础软件 60,000 元/套：上表「基础软件」各功能行均为软件能力清单，金额计入末行「产品许可费」；缺省含 3 个文档模板适配。
2. 文档模板适配 2,500 元/个：绿色计价行「超出缺省的模板」修改数量即可增购；其上方明细为单个模板适配所含工作内容。
3. 模板编写培训 10,000 元/次：绿色计价行修改次数；上方为培训课程大纲。
4. 默认报价配置：软件 1 套 + 额外模板 0 个 + 培训 1 次 = 70,000 元（打开 Excel 后公式自动计算）。
5. 本报价有效期 30 日；功能范围以本合同及验收样张为准。</t>
        </is>
      </c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</row>
    <row r="44" ht="36" customHeight="1">
      <c r="A44" s="24" t="inlineStr">
        <is>
          <t>供方（盖章）：____________________</t>
        </is>
      </c>
      <c r="F44" s="24" t="inlineStr">
        <is>
          <t>需方（盖章）：____________________</t>
        </is>
      </c>
    </row>
    <row r="45">
      <c r="A45" s="24" t="inlineStr">
        <is>
          <t>日期：________年____月____日</t>
        </is>
      </c>
      <c r="F45" s="24" t="inlineStr">
        <is>
          <t>日期：________年____月____日</t>
        </is>
      </c>
    </row>
  </sheetData>
  <mergeCells count="15">
    <mergeCell ref="B26:B30"/>
    <mergeCell ref="A2:F2"/>
    <mergeCell ref="B4:B25"/>
    <mergeCell ref="B31:B36"/>
    <mergeCell ref="A39:G39"/>
    <mergeCell ref="G2:K2"/>
    <mergeCell ref="F45:K45"/>
    <mergeCell ref="C38:F38"/>
    <mergeCell ref="A40:I40"/>
    <mergeCell ref="A45:E45"/>
    <mergeCell ref="A42:K42"/>
    <mergeCell ref="A44:E44"/>
    <mergeCell ref="A1:K1"/>
    <mergeCell ref="F44:K44"/>
    <mergeCell ref="A37:G3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2026-07-23T02:14:27Z</dcterms:created>
  <dcterms:modified xmlns:dcterms="http://purl.org/dc/terms/" xmlns:xsi="http://www.w3.org/2001/XMLSchema-instance" xsi:type="dcterms:W3CDTF">2026-07-23T02:14:27Z</dcterms:modified>
</cp:coreProperties>
</file>